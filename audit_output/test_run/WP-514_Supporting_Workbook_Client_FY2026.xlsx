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P-514 Review" sheetId="1" r:id="rId1"/>
    <sheet name="Financial Analytics" sheetId="2" r:id="rId2"/>
    <sheet name="Ratio &amp; Disconnect Analysis" sheetId="3" r:id="rId3"/>
    <sheet name="Historical Analysis" sheetId="4" r:id="rId4"/>
    <sheet name="Findings &amp; Exceptions" sheetId="5" r:id="rId5"/>
    <sheet name="Forensic Analytics" sheetId="6" r:id="rId6"/>
  </sheets>
  <calcPr calcId="124519" fullCalcOnLoad="1"/>
</workbook>
</file>

<file path=xl/sharedStrings.xml><?xml version="1.0" encoding="utf-8"?>
<sst xmlns="http://schemas.openxmlformats.org/spreadsheetml/2006/main" count="617" uniqueCount="342">
  <si>
    <t>WORKPAPER WP-514: FINANCIAL STATEMENT REVIEW</t>
  </si>
  <si>
    <t>Client / Entity</t>
  </si>
  <si>
    <t>Unknown Entity</t>
  </si>
  <si>
    <t>Period End</t>
  </si>
  <si>
    <t>CY</t>
  </si>
  <si>
    <t>Currency</t>
  </si>
  <si>
    <t>USD</t>
  </si>
  <si>
    <t>Scale</t>
  </si>
  <si>
    <t>-</t>
  </si>
  <si>
    <t>Framework</t>
  </si>
  <si>
    <t>US GAAP / IFRS</t>
  </si>
  <si>
    <t>Review Stage</t>
  </si>
  <si>
    <t>CY_Final</t>
  </si>
  <si>
    <t>REVIEW STATUS</t>
  </si>
  <si>
    <t>Audit Status</t>
  </si>
  <si>
    <t>Total Procedures</t>
  </si>
  <si>
    <t>Passed Procedures</t>
  </si>
  <si>
    <t>Open Findings</t>
  </si>
  <si>
    <t>REJECTED</t>
  </si>
  <si>
    <t>ONES</t>
  </si>
  <si>
    <t>FINANCIAL STATEMENT REVIEW &amp; CONTROL PROCEDURES</t>
  </si>
  <si>
    <t>Step #</t>
  </si>
  <si>
    <t>Category</t>
  </si>
  <si>
    <t>Review Procedure / Control Test</t>
  </si>
  <si>
    <t>Reference</t>
  </si>
  <si>
    <t>Status</t>
  </si>
  <si>
    <t>Issue / Exception</t>
  </si>
  <si>
    <t>Resolution</t>
  </si>
  <si>
    <t>Workpaper Note</t>
  </si>
  <si>
    <t>Mathematical Accuracy</t>
  </si>
  <si>
    <t>Balance Sheet Equilibrium: Total Assets == Total Liabilities + Total Stockholders' Equity</t>
  </si>
  <si>
    <t>MATH_01</t>
  </si>
  <si>
    <t>FAIL</t>
  </si>
  <si>
    <t>Discrepancy of 570,000.00: Expected 1,570,000.00, Actual 1,000,000.00</t>
  </si>
  <si>
    <t>Audit Action: REJECTED</t>
  </si>
  <si>
    <t>Current Assets Footing: Total Current Assets == Cash + AR + Inventory + Prepaid Expenses</t>
  </si>
  <si>
    <t>MATH_02</t>
  </si>
  <si>
    <t>PASS</t>
  </si>
  <si>
    <t>no action required.</t>
  </si>
  <si>
    <t>Total Assets Footing: Total Assets == Total Current Assets + Total Non-Current Assets</t>
  </si>
  <si>
    <t>MATH_03</t>
  </si>
  <si>
    <t>Current Liabilities Footing: Total Current Liabilities == AP + Short-Term Debt + Accrued Expenses</t>
  </si>
  <si>
    <t>MATH_04</t>
  </si>
  <si>
    <t>Total Liabilities Footing: Total Liabilities == Total Current Liabilities + Total Non-Current Liabilities</t>
  </si>
  <si>
    <t>MATH_05</t>
  </si>
  <si>
    <t>Discrepancy of 570,000.00: Expected 430,000.00, Actual 1,000,000.00</t>
  </si>
  <si>
    <t>Stockholders' Equity Footing: Equity == Common Stock + APIC + Retained Earnings + AOCI</t>
  </si>
  <si>
    <t>MATH_06</t>
  </si>
  <si>
    <t>Gross Profit Calculation: Gross Profit == Revenue - Cost of Goods Sold</t>
  </si>
  <si>
    <t>MATH_07</t>
  </si>
  <si>
    <t>Operating Income Calculation: Operating Income == Gross Profit - Operating Expenses</t>
  </si>
  <si>
    <t>MATH_08</t>
  </si>
  <si>
    <t>Discrepancy of 40,000.00: Expected 260,000.00, Actual 300,000.00</t>
  </si>
  <si>
    <t>Net Income Calculation: Net Income == Operating Income - Interest - Taxes</t>
  </si>
  <si>
    <t>MATH_09</t>
  </si>
  <si>
    <t>Cash Flow Net Change: Net Change in Cash == Operating CF + Investing CF + Financing CF</t>
  </si>
  <si>
    <t>MATH_10</t>
  </si>
  <si>
    <t>Discrepancy of 20,000.00: Expected 20,000.00, Actual 0.00</t>
  </si>
  <si>
    <t>Cash Flow Ending Cash: Ending Cash == Beginning Cash + Net Change in Cash</t>
  </si>
  <si>
    <t>MATH_11</t>
  </si>
  <si>
    <t>Internal Consistency</t>
  </si>
  <si>
    <t>Net Income Reconciliation: IS Net Income == CFS Starting Net Income</t>
  </si>
  <si>
    <t>TIEOUT_01</t>
  </si>
  <si>
    <t>Ending Cash Tie-Out: CFS Ending Cash == Balance Sheet Cash &amp; Cash Equivalents</t>
  </si>
  <si>
    <t>TIEOUT_02</t>
  </si>
  <si>
    <t>Discrepancy of 120,000.00: Expected 120,000.00, Actual 0.00</t>
  </si>
  <si>
    <t>Retained Earnings Roll-Forward: Ending RE == Beginning RE + Current Net Income - Dividends Declared</t>
  </si>
  <si>
    <t>TIEOUT_04</t>
  </si>
  <si>
    <t>Discrepancy of 130,000.00: Expected 500,000.00, Actual 370,000.00</t>
  </si>
  <si>
    <t>Prior Year Tie-Out</t>
  </si>
  <si>
    <t>Comparative Assets: Current Report PY Total Assets == Audited Prior-Year Total Assets</t>
  </si>
  <si>
    <t>PY_01</t>
  </si>
  <si>
    <t>Comparative Cash: Current Report PY Cash == Audited Prior-Year Cash</t>
  </si>
  <si>
    <t>PY_02</t>
  </si>
  <si>
    <t>Comparative Retained Earnings: Current Report PY Retained Earnings == Audited Prior-Year Retained Earnings</t>
  </si>
  <si>
    <t>PY_03</t>
  </si>
  <si>
    <t>Comparative Revenue: Current Report PY Revenue == Audited Prior-Year Revenue</t>
  </si>
  <si>
    <t>PY_04</t>
  </si>
  <si>
    <t>Comparative Net Income: Current Report PY Net Income == Audited Prior-Year Net Income</t>
  </si>
  <si>
    <t>PY_05</t>
  </si>
  <si>
    <t>Schedule Footing</t>
  </si>
  <si>
    <t>AR Aging Schedule Footing: Gross AR (Footnote) == Sum of Aging Buckets</t>
  </si>
  <si>
    <t>NOTE_01</t>
  </si>
  <si>
    <t>Net AR Footnote Calculation: Net AR (Footnote) == Gross AR - Allowance for Credit Losses</t>
  </si>
  <si>
    <t>NOTE_02</t>
  </si>
  <si>
    <t>AR Footnote to Balance Sheet: Note Net AR == Balance Sheet Net Accounts Receivable</t>
  </si>
  <si>
    <t>NOTE_03</t>
  </si>
  <si>
    <t>PP&amp;E Footnote Net Book Value: Ending Net PP&amp;E == Ending Gross PP&amp;E - Ending Accumulated Depreciation</t>
  </si>
  <si>
    <t>NOTE_04</t>
  </si>
  <si>
    <t>PP&amp;E Footnote to Balance Sheet: Note Net PP&amp;E == Balance Sheet Net Property, Plant &amp; Equipment</t>
  </si>
  <si>
    <t>NOTE_05</t>
  </si>
  <si>
    <t>Debt Maturity Schedule Sum: Total Future Debt Maturities == Sum of Scheduled Debt</t>
  </si>
  <si>
    <t>NOTE_06</t>
  </si>
  <si>
    <t>Short-Term Debt Maturity Match: Year 1 Debt Maturity == Balance Sheet Current Portion of LT Debt</t>
  </si>
  <si>
    <t>NOTE_07</t>
  </si>
  <si>
    <t>Long-Term Debt Maturity Match: Sum of Years 2-Thereafter Maturities == Balance Sheet Long-Term Debt</t>
  </si>
  <si>
    <t>NOTE_08</t>
  </si>
  <si>
    <t>Income Statement Sanity</t>
  </si>
  <si>
    <t>Revenue Growth Rate Rule</t>
  </si>
  <si>
    <t>IS_GUARD_01</t>
  </si>
  <si>
    <t>Gross Profit Margin Rule</t>
  </si>
  <si>
    <t>IS_GUARD_02</t>
  </si>
  <si>
    <t>OpEx to Revenue Ratio</t>
  </si>
  <si>
    <t>IS_GUARD_03</t>
  </si>
  <si>
    <t>Effective Tax Rate Rule</t>
  </si>
  <si>
    <t>IS_GUARD_04</t>
  </si>
  <si>
    <t>Balance Sheet Sanity</t>
  </si>
  <si>
    <t>Cash Buffer Rule</t>
  </si>
  <si>
    <t>BS_GUARD_01</t>
  </si>
  <si>
    <t>Current Ratio Liquidity Check</t>
  </si>
  <si>
    <t>BS_GUARD_02</t>
  </si>
  <si>
    <t>FLAGGED</t>
  </si>
  <si>
    <t>Current Ratio is 3.06x (Standard range: 1.00x to 3.00x)</t>
  </si>
  <si>
    <t>Audit Action: REVIEW REQUIRED</t>
  </si>
  <si>
    <t>Days Sales Outstanding (DSO)</t>
  </si>
  <si>
    <t>BS_GUARD_03</t>
  </si>
  <si>
    <t>Debt-to-Equity Ratio</t>
  </si>
  <si>
    <t>BS_GUARD_04</t>
  </si>
  <si>
    <t>Cash Flow Sanity</t>
  </si>
  <si>
    <t>Operating Cash Flow vs Net Income Alignment</t>
  </si>
  <si>
    <t>CF_GUARD_01</t>
  </si>
  <si>
    <t>CapEx to Revenue Ratio</t>
  </si>
  <si>
    <t>CF_GUARD_02</t>
  </si>
  <si>
    <t>Dividend Payout Ratio</t>
  </si>
  <si>
    <t>CF_GUARD_03</t>
  </si>
  <si>
    <t>Equity Sanity</t>
  </si>
  <si>
    <t>Retained Earnings Continuity</t>
  </si>
  <si>
    <t>EQ_GUARD_01</t>
  </si>
  <si>
    <t>Share Buyback Limits</t>
  </si>
  <si>
    <t>EQ_GUARD_02</t>
  </si>
  <si>
    <t>Notes Sanity</t>
  </si>
  <si>
    <t>Bad Debt Provision</t>
  </si>
  <si>
    <t>NOTE_GUARD_01</t>
  </si>
  <si>
    <t>Provisions are 0.00% of AR</t>
  </si>
  <si>
    <t>Contingent Liabilities Threshold</t>
  </si>
  <si>
    <t>NOTE_GUARD_02</t>
  </si>
  <si>
    <t>Driver Sanity</t>
  </si>
  <si>
    <t>Positive Headcount</t>
  </si>
  <si>
    <t>DRIVER_GUARD_01</t>
  </si>
  <si>
    <t>Audit Gate Conclusion</t>
  </si>
  <si>
    <t>REJECTED | Audit status REJECTED due to failure in critical deterministic footing / tie-out rules.</t>
  </si>
  <si>
    <t>UNKNOWN ENTITY - FINANCIAL STATEMENT ANALYTICS</t>
  </si>
  <si>
    <t>Period: CY | Currency / Scale: USD / -</t>
  </si>
  <si>
    <t>YEAR OVER YEAR HORIZONTAL VARIANCE (ANALYTICS 01 - 02 &amp; FLAG 01)</t>
  </si>
  <si>
    <t>Statement</t>
  </si>
  <si>
    <t>Line Item</t>
  </si>
  <si>
    <t>Prior Period</t>
  </si>
  <si>
    <t>Current Period</t>
  </si>
  <si>
    <t>Variance ($)</t>
  </si>
  <si>
    <t>Variance (%)</t>
  </si>
  <si>
    <t>Audit Action</t>
  </si>
  <si>
    <t>BALANCE_SHEET</t>
  </si>
  <si>
    <t>Cash and Cash Equivalents</t>
  </si>
  <si>
    <t>Accounts Receivable</t>
  </si>
  <si>
    <t>Inventories</t>
  </si>
  <si>
    <t>Total Current Assets</t>
  </si>
  <si>
    <t>Property Plant and Equipment Net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</si>
  <si>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</si>
  <si>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</si>
  <si>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</si>
  <si>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</si>
  <si>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</si>
  <si>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</si>
  <si>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Common Stock</t>
  </si>
  <si>
    <t>Retained Earnings</t>
  </si>
  <si>
    <t>Total Stockholders Equity</t>
  </si>
  <si>
    <t>INCOME_STATEMENT</t>
  </si>
  <si>
    <t>Revenue</t>
  </si>
  <si>
    <t>Cost of Goods Sold</t>
  </si>
  <si>
    <t>Gross Profit</t>
  </si>
  <si>
    <t>Selling General and Administrative</t>
  </si>
  <si>
    <t>Operating Income</t>
  </si>
  <si>
    <t>Depreciation and Amortization Expense</t>
  </si>
  <si>
    <t>Interest Expense</t>
  </si>
  <si>
    <t>Earnings Before Tax</t>
  </si>
  <si>
    <t>Income Tax Expense</t>
  </si>
  <si>
    <t>Net Income</t>
  </si>
  <si>
    <t>COMMON-SIZE BALANCE SHEET (% OF TOTAL ASSETS)</t>
  </si>
  <si>
    <t>Standard Key</t>
  </si>
  <si>
    <t>Value ($)</t>
  </si>
  <si>
    <t>Common-Size (%)</t>
  </si>
  <si>
    <t>CashAndCashEquivalents</t>
  </si>
  <si>
    <t>AccountsReceivable</t>
  </si>
  <si>
    <t>TotalCurrentAssets</t>
  </si>
  <si>
    <t>PropertyPlantAndEquipmentNet</t>
  </si>
  <si>
    <t>TotalAssets</t>
  </si>
  <si>
    <t>AccountsPayable</t>
  </si>
  <si>
    <t>ShortTermDebt</t>
  </si>
  <si>
    <t>TotalCurrentLiabilities</t>
  </si>
  <si>
    <t>LongTermDebt</t>
  </si>
  <si>
    <t>TotalLiabilities</t>
  </si>
  <si>
    <t>CommonStock</t>
  </si>
  <si>
    <t>RetainedEarnings</t>
  </si>
  <si>
    <t>TotalStockholdersEquity</t>
  </si>
  <si>
    <t>UNKNOWN ENTITY - RATIOS &amp; RELATIONSHIP DISCONNECTS</t>
  </si>
  <si>
    <t>KEY FINANCIAL RATIOS ENGINE (11 RULES)</t>
  </si>
  <si>
    <t>Rule ID</t>
  </si>
  <si>
    <t>Ratio / Metric</t>
  </si>
  <si>
    <t>Formula</t>
  </si>
  <si>
    <t>Value</t>
  </si>
  <si>
    <t>Benchmark</t>
  </si>
  <si>
    <t>RATIO_01</t>
  </si>
  <si>
    <t>Liquidity &amp; Solvency</t>
  </si>
  <si>
    <t>Current Ratio</t>
  </si>
  <si>
    <t>Total Current Assets / Total Current Liabilities</t>
  </si>
  <si>
    <t>3.06x</t>
  </si>
  <si>
    <t>RATIO_02</t>
  </si>
  <si>
    <t>Quick Ratio (Acid-Test)</t>
  </si>
  <si>
    <t>(Cash + Mkt Sec + AR) / Total Current Liabilities</t>
  </si>
  <si>
    <t>2.06x</t>
  </si>
  <si>
    <t>RATIO_03</t>
  </si>
  <si>
    <t>(Short-Term Debt + Long-Term Debt) / Total Equity</t>
  </si>
  <si>
    <t>0.54x</t>
  </si>
  <si>
    <t>RATIO_04</t>
  </si>
  <si>
    <t>Interest Coverage Ratio</t>
  </si>
  <si>
    <t>EBIT / Interest Expense</t>
  </si>
  <si>
    <t>12.00x</t>
  </si>
  <si>
    <t>RATIO_05</t>
  </si>
  <si>
    <t>Activity &amp; Working Capital</t>
  </si>
  <si>
    <t>(AR / Revenue) * 365</t>
  </si>
  <si>
    <t>60.8 Days</t>
  </si>
  <si>
    <t>RATIO_06</t>
  </si>
  <si>
    <t>Days Inventory Outstanding (DIO)</t>
  </si>
  <si>
    <t>(Inventory / COGS) * 365</t>
  </si>
  <si>
    <t>73.0 Days</t>
  </si>
  <si>
    <t>RATIO_07</t>
  </si>
  <si>
    <t>Days Payable Outstanding (DPO)</t>
  </si>
  <si>
    <t>(Accounts Payable / COGS) * 365</t>
  </si>
  <si>
    <t>48.7 Days</t>
  </si>
  <si>
    <t>RATIO_08</t>
  </si>
  <si>
    <t>Cash Conversion Cycle (CCC)</t>
  </si>
  <si>
    <t>DIO + DSO - DPO</t>
  </si>
  <si>
    <t>85.2 Days</t>
  </si>
  <si>
    <t>RATIO_09</t>
  </si>
  <si>
    <t>Profitability &amp; Margins</t>
  </si>
  <si>
    <t>Gross Profit Margin</t>
  </si>
  <si>
    <t>((Revenue - COGS) / Revenue) * 100</t>
  </si>
  <si>
    <t>40.00%</t>
  </si>
  <si>
    <t>RATIO_10</t>
  </si>
  <si>
    <t>Operating Profit Margin</t>
  </si>
  <si>
    <t>(Operating Income / Revenue) * 100</t>
  </si>
  <si>
    <t>20.00%</t>
  </si>
  <si>
    <t>RATIO_11</t>
  </si>
  <si>
    <t>Effective Tax Rate</t>
  </si>
  <si>
    <t>(Income Tax Expense / EBT) * 100</t>
  </si>
  <si>
    <t>UNIVERSAL RELATIONSHIP DISCONNECT CHECKS (REL 01 - 06)</t>
  </si>
  <si>
    <t>Rule Name</t>
  </si>
  <si>
    <t>Condition / Metric</t>
  </si>
  <si>
    <t>Threshold</t>
  </si>
  <si>
    <t>Audit Implication</t>
  </si>
  <si>
    <t>REL_01</t>
  </si>
  <si>
    <t>Revenue vs. Accounts Receivable Growth Disconnect</t>
  </si>
  <si>
    <t>3.66</t>
  </si>
  <si>
    <t>20.0</t>
  </si>
  <si>
    <t>Premature revenue recognition, unrecorded sales returns, or under-provisioning of credit losses.</t>
  </si>
  <si>
    <t>REL_02</t>
  </si>
  <si>
    <t>Revenue vs. COGS Expansion Disconnect</t>
  </si>
  <si>
    <t>2.88</t>
  </si>
  <si>
    <t>15.0</t>
  </si>
  <si>
    <t>Unrecorded purchases, inventory misstatement, or aggressive margin inflation.</t>
  </si>
  <si>
    <t>REL_03</t>
  </si>
  <si>
    <t>Inventory vs. COGS Growth Disconnect</t>
  </si>
  <si>
    <t>0.0</t>
  </si>
  <si>
    <t>25.0</t>
  </si>
  <si>
    <t>Slow-moving or obsolete inventory, or improper capitalization of period expenses.</t>
  </si>
  <si>
    <t>REL_04</t>
  </si>
  <si>
    <t>CapEx / PP&amp;E Expansion vs. Depreciation Inversion</t>
  </si>
  <si>
    <t>PP&amp;E: +50,000.00, Depr: +5,000.00</t>
  </si>
  <si>
    <t>Delta$(Depr) &gt;= 0</t>
  </si>
  <si>
    <t>Omitted depreciation expense, improper useful-life extensions, or unrecorded asset retirements.</t>
  </si>
  <si>
    <t>REL_05</t>
  </si>
  <si>
    <t>Debt Incurrence vs. Interest Expense Inversion</t>
  </si>
  <si>
    <t>Debt: +30,000.00, Interest: +5,000.00</t>
  </si>
  <si>
    <t>Delta$(Interest) &gt;= 0</t>
  </si>
  <si>
    <t>Unrecorded interest expense, unaccrued interest liabilities, or misclassified loan fees.</t>
  </si>
  <si>
    <t>REL_06</t>
  </si>
  <si>
    <t>Profit Growth vs. Tax Expense Inversion</t>
  </si>
  <si>
    <t>EBT: +55,000.00, Tax: +11,000.00</t>
  </si>
  <si>
    <t>Delta$(Tax) &gt;= 0</t>
  </si>
  <si>
    <t>Understated income tax provision or unrecorded tax liabilities.</t>
  </si>
  <si>
    <t>UNKNOWN ENTITY - MULTI-YEAR HISTORICAL TREND ANALYTICS</t>
  </si>
  <si>
    <t>COMPOUND ANNUAL GROWTH RATE (CAGR)</t>
  </si>
  <si>
    <t>Metric Key</t>
  </si>
  <si>
    <t>CAGR (%)</t>
  </si>
  <si>
    <t>BASIS POINTS (BPS) MARGIN SWINGS</t>
  </si>
  <si>
    <t>Fiscal Year</t>
  </si>
  <si>
    <t>Gross Margin (%)</t>
  </si>
  <si>
    <t>Gross Margin (bps swing)</t>
  </si>
  <si>
    <t>Operating Margin (%)</t>
  </si>
  <si>
    <t>Operating Margin (bps swing)</t>
  </si>
  <si>
    <t>Net Margin (%)</t>
  </si>
  <si>
    <t>Net Margin (bps swing)</t>
  </si>
  <si>
    <t>2025</t>
  </si>
  <si>
    <t>2026</t>
  </si>
  <si>
    <t>MULTI-YEAR WORKING CAPITAL &amp; CCC TRENDS</t>
  </si>
  <si>
    <t>DIO (Days)</t>
  </si>
  <si>
    <t>DSO (Days)</t>
  </si>
  <si>
    <t>DPO (Days)</t>
  </si>
  <si>
    <t>Net CCC (Days)</t>
  </si>
  <si>
    <t>HISTORICAL FREE CASH FLOW TO FIRM (FCFF)</t>
  </si>
  <si>
    <t>NOPAT</t>
  </si>
  <si>
    <t>D&amp;A</t>
  </si>
  <si>
    <t>CapEx</t>
  </si>
  <si>
    <t>Delta NWC</t>
  </si>
  <si>
    <t>FCFF</t>
  </si>
  <si>
    <t>WP-514 FINDINGS, EXCEPTIONS &amp; RECONCILIATION</t>
  </si>
  <si>
    <t>Finding ID</t>
  </si>
  <si>
    <t>Severity</t>
  </si>
  <si>
    <t>Description</t>
  </si>
  <si>
    <t>Expected</t>
  </si>
  <si>
    <t>Actual</t>
  </si>
  <si>
    <t>Difference</t>
  </si>
  <si>
    <t>Recommended Action</t>
  </si>
  <si>
    <t>FINDING-001</t>
  </si>
  <si>
    <t>CRITICAL</t>
  </si>
  <si>
    <t>Rule failure: REJECTED. Reconcile underlying ledger accounts.</t>
  </si>
  <si>
    <t>FINDING-002</t>
  </si>
  <si>
    <t>FINDING-003</t>
  </si>
  <si>
    <t>FINDING-004</t>
  </si>
  <si>
    <t>FINDING-005</t>
  </si>
  <si>
    <t>FINDING-006</t>
  </si>
  <si>
    <t>FORENSIC AUDIT &amp; STATISTICAL MODELS</t>
  </si>
  <si>
    <t>STATISTICAL &amp; FORENSIC AUDIT MODELS</t>
  </si>
  <si>
    <t>Forensic Model</t>
  </si>
  <si>
    <t>Score / Value</t>
  </si>
  <si>
    <t>Risk Level / Status</t>
  </si>
  <si>
    <t>Threshold / Benchmark</t>
  </si>
  <si>
    <t>Details / Implications</t>
  </si>
  <si>
    <t>Altman Z-Score (Distress Risk)</t>
  </si>
  <si>
    <t>4.25</t>
  </si>
  <si>
    <t>LOW</t>
  </si>
  <si>
    <t>Safe: &gt; 2.99, Grey: 1.81-2.99, Distress: &lt; 1.81</t>
  </si>
  <si>
    <t>SAFE ZONE (Low Distress Risk)</t>
  </si>
  <si>
    <t>Beneish M-Score (Manipulation)</t>
  </si>
  <si>
    <t>-1.94</t>
  </si>
  <si>
    <t>Manipulation Threshold: &gt; -1.78</t>
  </si>
  <si>
    <t>PASS (Unlikely Manipulation)</t>
  </si>
  <si>
    <t>Sloan Accrual Ratio (Quality)</t>
  </si>
  <si>
    <t>10.7%</t>
  </si>
  <si>
    <t>MODERATE QUALITY (Accepted Accruals)</t>
  </si>
  <si>
    <t>Safe Range: -10.0% to +10.0%</t>
  </si>
  <si>
    <t>Accrual Dollar: $100,000.0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</si>
</sst>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17365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55.7109375" customWidth="1"/>
    <col min="4" max="4" width="20.7109375" customWidth="1"/>
    <col min="5" max="5" width="15.7109375" customWidth="1"/>
    <col min="6" max="6" width="38.7109375" customWidth="1"/>
    <col min="7" max="7" width="40.7109375" customWidth="1"/>
    <col min="8" max="8" width="2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 t="s">
        <v>2</v>
      </c>
      <c r="D3" s="2" t="s">
        <v>3</v>
      </c>
      <c r="E3" s="3" t="s">
        <v>4</v>
      </c>
    </row>
    <row r="4" spans="1:8">
      <c r="A4" s="2" t="s">
        <v>5</v>
      </c>
      <c r="B4" s="3" t="s">
        <v>6</v>
      </c>
      <c r="D4" s="2" t="s">
        <v>7</v>
      </c>
      <c r="E4" s="3" t="s">
        <v>8</v>
      </c>
    </row>
    <row r="5" spans="1:8">
      <c r="A5" s="2" t="s">
        <v>9</v>
      </c>
      <c r="B5" s="3" t="s">
        <v>10</v>
      </c>
      <c r="D5" s="2" t="s">
        <v>11</v>
      </c>
      <c r="E5" s="3" t="s">
        <v>12</v>
      </c>
    </row>
    <row r="7" spans="1:8" ht="22" customHeight="1">
      <c r="A7" s="4" t="s">
        <v>13</v>
      </c>
      <c r="B7" s="4"/>
      <c r="C7" s="4"/>
      <c r="D7" s="4"/>
      <c r="E7" s="4"/>
      <c r="F7" s="4"/>
      <c r="G7" s="4"/>
      <c r="H7" s="4"/>
    </row>
    <row r="8" spans="1:8" ht="25" customHeight="1">
      <c r="A8" s="5" t="s">
        <v>14</v>
      </c>
      <c r="B8" s="5" t="s">
        <v>15</v>
      </c>
      <c r="C8" s="5" t="s">
        <v>16</v>
      </c>
      <c r="D8" s="5" t="s">
        <v>17</v>
      </c>
      <c r="E8" s="5" t="s">
        <v>7</v>
      </c>
      <c r="F8" s="5" t="s">
        <v>5</v>
      </c>
      <c r="G8" s="5" t="s">
        <v>9</v>
      </c>
      <c r="H8" s="5" t="s">
        <v>11</v>
      </c>
    </row>
    <row r="9" spans="1:8">
      <c r="A9" s="6" t="s">
        <v>18</v>
      </c>
      <c r="B9" s="7">
        <f>COUNTA(E11:E53)</f>
        <v>43</v>
      </c>
      <c r="C9" s="7">
        <f>COUNTIF(E11:E53, "PASS")</f>
        <v>35</v>
      </c>
      <c r="D9" s="7">
        <f>COUNTIF(E11:E53, "FLAGGED") + COUNTIF(E11:E53, "FAIL")</f>
        <v>6</v>
      </c>
      <c r="E9" s="8" t="s">
        <v>19</v>
      </c>
      <c r="F9" s="8" t="s">
        <v>6</v>
      </c>
      <c r="G9" s="8" t="s">
        <v>10</v>
      </c>
      <c r="H9" s="8" t="s">
        <v>12</v>
      </c>
    </row>
    <row r="11" spans="1:8" ht="22" customHeight="1">
      <c r="A11" s="4" t="s">
        <v>20</v>
      </c>
      <c r="B11" s="4"/>
      <c r="C11" s="4"/>
      <c r="D11" s="4"/>
      <c r="E11" s="4"/>
      <c r="F11" s="4"/>
      <c r="G11" s="4"/>
      <c r="H11" s="4"/>
    </row>
    <row r="12" spans="1:8" ht="25" customHeight="1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</row>
    <row r="13" spans="1:8">
      <c r="A13" s="8">
        <v>1</v>
      </c>
      <c r="B13" s="8" t="s">
        <v>29</v>
      </c>
      <c r="C13" s="8" t="s">
        <v>30</v>
      </c>
      <c r="D13" s="8" t="s">
        <v>31</v>
      </c>
      <c r="E13" s="6" t="s">
        <v>32</v>
      </c>
      <c r="F13" s="8" t="s">
        <v>33</v>
      </c>
      <c r="G13" s="8" t="s">
        <v>34</v>
      </c>
      <c r="H13" s="8"/>
    </row>
    <row r="14" spans="1:8">
      <c r="A14" s="8">
        <v>2</v>
      </c>
      <c r="B14" s="8" t="s">
        <v>29</v>
      </c>
      <c r="C14" s="8" t="s">
        <v>35</v>
      </c>
      <c r="D14" s="8" t="s">
        <v>36</v>
      </c>
      <c r="E14" s="9" t="s">
        <v>37</v>
      </c>
      <c r="F14" s="8" t="s">
        <v>8</v>
      </c>
      <c r="G14" s="8" t="s">
        <v>38</v>
      </c>
      <c r="H14" s="8"/>
    </row>
    <row r="15" spans="1:8">
      <c r="A15" s="8">
        <v>3</v>
      </c>
      <c r="B15" s="8" t="s">
        <v>29</v>
      </c>
      <c r="C15" s="8" t="s">
        <v>39</v>
      </c>
      <c r="D15" s="8" t="s">
        <v>40</v>
      </c>
      <c r="E15" s="9" t="s">
        <v>37</v>
      </c>
      <c r="F15" s="8" t="s">
        <v>8</v>
      </c>
      <c r="G15" s="8" t="s">
        <v>38</v>
      </c>
      <c r="H15" s="8"/>
    </row>
    <row r="16" spans="1:8">
      <c r="A16" s="8">
        <v>4</v>
      </c>
      <c r="B16" s="8" t="s">
        <v>29</v>
      </c>
      <c r="C16" s="8" t="s">
        <v>41</v>
      </c>
      <c r="D16" s="8" t="s">
        <v>42</v>
      </c>
      <c r="E16" s="9" t="s">
        <v>37</v>
      </c>
      <c r="F16" s="8" t="s">
        <v>8</v>
      </c>
      <c r="G16" s="8" t="s">
        <v>38</v>
      </c>
      <c r="H16" s="8"/>
    </row>
    <row r="17" spans="1:8">
      <c r="A17" s="8">
        <v>5</v>
      </c>
      <c r="B17" s="8" t="s">
        <v>29</v>
      </c>
      <c r="C17" s="8" t="s">
        <v>43</v>
      </c>
      <c r="D17" s="8" t="s">
        <v>44</v>
      </c>
      <c r="E17" s="6" t="s">
        <v>32</v>
      </c>
      <c r="F17" s="8" t="s">
        <v>45</v>
      </c>
      <c r="G17" s="8" t="s">
        <v>34</v>
      </c>
      <c r="H17" s="8"/>
    </row>
    <row r="18" spans="1:8">
      <c r="A18" s="8">
        <v>6</v>
      </c>
      <c r="B18" s="8" t="s">
        <v>29</v>
      </c>
      <c r="C18" s="8" t="s">
        <v>46</v>
      </c>
      <c r="D18" s="8" t="s">
        <v>47</v>
      </c>
      <c r="E18" s="9" t="s">
        <v>37</v>
      </c>
      <c r="F18" s="8" t="s">
        <v>8</v>
      </c>
      <c r="G18" s="8" t="s">
        <v>38</v>
      </c>
      <c r="H18" s="8"/>
    </row>
    <row r="19" spans="1:8">
      <c r="A19" s="8">
        <v>7</v>
      </c>
      <c r="B19" s="8" t="s">
        <v>29</v>
      </c>
      <c r="C19" s="8" t="s">
        <v>48</v>
      </c>
      <c r="D19" s="8" t="s">
        <v>49</v>
      </c>
      <c r="E19" s="9" t="s">
        <v>37</v>
      </c>
      <c r="F19" s="8" t="s">
        <v>8</v>
      </c>
      <c r="G19" s="8" t="s">
        <v>38</v>
      </c>
      <c r="H19" s="8"/>
    </row>
    <row r="20" spans="1:8">
      <c r="A20" s="8">
        <v>8</v>
      </c>
      <c r="B20" s="8" t="s">
        <v>29</v>
      </c>
      <c r="C20" s="8" t="s">
        <v>50</v>
      </c>
      <c r="D20" s="8" t="s">
        <v>51</v>
      </c>
      <c r="E20" s="6" t="s">
        <v>32</v>
      </c>
      <c r="F20" s="8" t="s">
        <v>52</v>
      </c>
      <c r="G20" s="8" t="s">
        <v>34</v>
      </c>
      <c r="H20" s="8"/>
    </row>
    <row r="21" spans="1:8">
      <c r="A21" s="8">
        <v>9</v>
      </c>
      <c r="B21" s="8" t="s">
        <v>29</v>
      </c>
      <c r="C21" s="8" t="s">
        <v>53</v>
      </c>
      <c r="D21" s="8" t="s">
        <v>54</v>
      </c>
      <c r="E21" s="9" t="s">
        <v>37</v>
      </c>
      <c r="F21" s="8" t="s">
        <v>8</v>
      </c>
      <c r="G21" s="8" t="s">
        <v>38</v>
      </c>
      <c r="H21" s="8"/>
    </row>
    <row r="22" spans="1:8">
      <c r="A22" s="8">
        <v>10</v>
      </c>
      <c r="B22" s="8" t="s">
        <v>29</v>
      </c>
      <c r="C22" s="8" t="s">
        <v>55</v>
      </c>
      <c r="D22" s="8" t="s">
        <v>56</v>
      </c>
      <c r="E22" s="6" t="s">
        <v>32</v>
      </c>
      <c r="F22" s="8" t="s">
        <v>57</v>
      </c>
      <c r="G22" s="8" t="s">
        <v>34</v>
      </c>
      <c r="H22" s="8"/>
    </row>
    <row r="23" spans="1:8">
      <c r="A23" s="8">
        <v>11</v>
      </c>
      <c r="B23" s="8" t="s">
        <v>29</v>
      </c>
      <c r="C23" s="8" t="s">
        <v>58</v>
      </c>
      <c r="D23" s="8" t="s">
        <v>59</v>
      </c>
      <c r="E23" s="9" t="s">
        <v>37</v>
      </c>
      <c r="F23" s="8" t="s">
        <v>8</v>
      </c>
      <c r="G23" s="8" t="s">
        <v>38</v>
      </c>
      <c r="H23" s="8"/>
    </row>
    <row r="24" spans="1:8">
      <c r="A24" s="8">
        <v>12</v>
      </c>
      <c r="B24" s="8" t="s">
        <v>60</v>
      </c>
      <c r="C24" s="8" t="s">
        <v>61</v>
      </c>
      <c r="D24" s="8" t="s">
        <v>62</v>
      </c>
      <c r="E24" s="9" t="s">
        <v>37</v>
      </c>
      <c r="F24" s="8" t="s">
        <v>8</v>
      </c>
      <c r="G24" s="8" t="s">
        <v>38</v>
      </c>
      <c r="H24" s="8"/>
    </row>
    <row r="25" spans="1:8">
      <c r="A25" s="8">
        <v>13</v>
      </c>
      <c r="B25" s="8" t="s">
        <v>60</v>
      </c>
      <c r="C25" s="8" t="s">
        <v>63</v>
      </c>
      <c r="D25" s="8" t="s">
        <v>64</v>
      </c>
      <c r="E25" s="6" t="s">
        <v>32</v>
      </c>
      <c r="F25" s="8" t="s">
        <v>65</v>
      </c>
      <c r="G25" s="8" t="s">
        <v>34</v>
      </c>
      <c r="H25" s="8"/>
    </row>
    <row r="26" spans="1:8">
      <c r="A26" s="8">
        <v>14</v>
      </c>
      <c r="B26" s="8" t="s">
        <v>60</v>
      </c>
      <c r="C26" s="8" t="s">
        <v>66</v>
      </c>
      <c r="D26" s="8" t="s">
        <v>67</v>
      </c>
      <c r="E26" s="6" t="s">
        <v>32</v>
      </c>
      <c r="F26" s="8" t="s">
        <v>68</v>
      </c>
      <c r="G26" s="8" t="s">
        <v>34</v>
      </c>
      <c r="H26" s="8"/>
    </row>
    <row r="27" spans="1:8">
      <c r="A27" s="8">
        <v>15</v>
      </c>
      <c r="B27" s="8" t="s">
        <v>69</v>
      </c>
      <c r="C27" s="8" t="s">
        <v>70</v>
      </c>
      <c r="D27" s="8" t="s">
        <v>71</v>
      </c>
      <c r="E27" s="9" t="s">
        <v>37</v>
      </c>
      <c r="F27" s="8" t="s">
        <v>8</v>
      </c>
      <c r="G27" s="8" t="s">
        <v>38</v>
      </c>
      <c r="H27" s="8"/>
    </row>
    <row r="28" spans="1:8">
      <c r="A28" s="8">
        <v>16</v>
      </c>
      <c r="B28" s="8" t="s">
        <v>69</v>
      </c>
      <c r="C28" s="8" t="s">
        <v>72</v>
      </c>
      <c r="D28" s="8" t="s">
        <v>73</v>
      </c>
      <c r="E28" s="9" t="s">
        <v>37</v>
      </c>
      <c r="F28" s="8" t="s">
        <v>8</v>
      </c>
      <c r="G28" s="8" t="s">
        <v>38</v>
      </c>
      <c r="H28" s="8"/>
    </row>
    <row r="29" spans="1:8">
      <c r="A29" s="8">
        <v>17</v>
      </c>
      <c r="B29" s="8" t="s">
        <v>69</v>
      </c>
      <c r="C29" s="8" t="s">
        <v>74</v>
      </c>
      <c r="D29" s="8" t="s">
        <v>75</v>
      </c>
      <c r="E29" s="9" t="s">
        <v>37</v>
      </c>
      <c r="F29" s="8" t="s">
        <v>8</v>
      </c>
      <c r="G29" s="8" t="s">
        <v>38</v>
      </c>
      <c r="H29" s="8"/>
    </row>
    <row r="30" spans="1:8">
      <c r="A30" s="8">
        <v>18</v>
      </c>
      <c r="B30" s="8" t="s">
        <v>69</v>
      </c>
      <c r="C30" s="8" t="s">
        <v>76</v>
      </c>
      <c r="D30" s="8" t="s">
        <v>77</v>
      </c>
      <c r="E30" s="9" t="s">
        <v>37</v>
      </c>
      <c r="F30" s="8" t="s">
        <v>8</v>
      </c>
      <c r="G30" s="8" t="s">
        <v>38</v>
      </c>
      <c r="H30" s="8"/>
    </row>
    <row r="31" spans="1:8">
      <c r="A31" s="8">
        <v>19</v>
      </c>
      <c r="B31" s="8" t="s">
        <v>69</v>
      </c>
      <c r="C31" s="8" t="s">
        <v>78</v>
      </c>
      <c r="D31" s="8" t="s">
        <v>79</v>
      </c>
      <c r="E31" s="9" t="s">
        <v>37</v>
      </c>
      <c r="F31" s="8" t="s">
        <v>8</v>
      </c>
      <c r="G31" s="8" t="s">
        <v>38</v>
      </c>
      <c r="H31" s="8"/>
    </row>
    <row r="32" spans="1:8">
      <c r="A32" s="8">
        <v>20</v>
      </c>
      <c r="B32" s="8" t="s">
        <v>80</v>
      </c>
      <c r="C32" s="8" t="s">
        <v>81</v>
      </c>
      <c r="D32" s="8" t="s">
        <v>82</v>
      </c>
      <c r="E32" s="9" t="s">
        <v>37</v>
      </c>
      <c r="F32" s="8" t="s">
        <v>8</v>
      </c>
      <c r="G32" s="8" t="s">
        <v>38</v>
      </c>
      <c r="H32" s="8"/>
    </row>
    <row r="33" spans="1:8">
      <c r="A33" s="8">
        <v>21</v>
      </c>
      <c r="B33" s="8" t="s">
        <v>80</v>
      </c>
      <c r="C33" s="8" t="s">
        <v>83</v>
      </c>
      <c r="D33" s="8" t="s">
        <v>84</v>
      </c>
      <c r="E33" s="9" t="s">
        <v>37</v>
      </c>
      <c r="F33" s="8" t="s">
        <v>8</v>
      </c>
      <c r="G33" s="8" t="s">
        <v>38</v>
      </c>
      <c r="H33" s="8"/>
    </row>
    <row r="34" spans="1:8">
      <c r="A34" s="8">
        <v>22</v>
      </c>
      <c r="B34" s="8" t="s">
        <v>60</v>
      </c>
      <c r="C34" s="8" t="s">
        <v>85</v>
      </c>
      <c r="D34" s="8" t="s">
        <v>86</v>
      </c>
      <c r="E34" s="9" t="s">
        <v>37</v>
      </c>
      <c r="F34" s="8" t="s">
        <v>8</v>
      </c>
      <c r="G34" s="8" t="s">
        <v>38</v>
      </c>
      <c r="H34" s="8"/>
    </row>
    <row r="35" spans="1:8">
      <c r="A35" s="8">
        <v>23</v>
      </c>
      <c r="B35" s="8" t="s">
        <v>80</v>
      </c>
      <c r="C35" s="8" t="s">
        <v>87</v>
      </c>
      <c r="D35" s="8" t="s">
        <v>88</v>
      </c>
      <c r="E35" s="9" t="s">
        <v>37</v>
      </c>
      <c r="F35" s="8" t="s">
        <v>8</v>
      </c>
      <c r="G35" s="8" t="s">
        <v>38</v>
      </c>
      <c r="H35" s="8"/>
    </row>
    <row r="36" spans="1:8">
      <c r="A36" s="8">
        <v>24</v>
      </c>
      <c r="B36" s="8" t="s">
        <v>60</v>
      </c>
      <c r="C36" s="8" t="s">
        <v>89</v>
      </c>
      <c r="D36" s="8" t="s">
        <v>90</v>
      </c>
      <c r="E36" s="9" t="s">
        <v>37</v>
      </c>
      <c r="F36" s="8" t="s">
        <v>8</v>
      </c>
      <c r="G36" s="8" t="s">
        <v>38</v>
      </c>
      <c r="H36" s="8"/>
    </row>
    <row r="37" spans="1:8">
      <c r="A37" s="8">
        <v>25</v>
      </c>
      <c r="B37" s="8" t="s">
        <v>80</v>
      </c>
      <c r="C37" s="8" t="s">
        <v>91</v>
      </c>
      <c r="D37" s="8" t="s">
        <v>92</v>
      </c>
      <c r="E37" s="9" t="s">
        <v>37</v>
      </c>
      <c r="F37" s="8" t="s">
        <v>8</v>
      </c>
      <c r="G37" s="8" t="s">
        <v>38</v>
      </c>
      <c r="H37" s="8"/>
    </row>
    <row r="38" spans="1:8">
      <c r="A38" s="8">
        <v>26</v>
      </c>
      <c r="B38" s="8" t="s">
        <v>60</v>
      </c>
      <c r="C38" s="8" t="s">
        <v>93</v>
      </c>
      <c r="D38" s="8" t="s">
        <v>94</v>
      </c>
      <c r="E38" s="9" t="s">
        <v>37</v>
      </c>
      <c r="F38" s="8" t="s">
        <v>8</v>
      </c>
      <c r="G38" s="8" t="s">
        <v>38</v>
      </c>
      <c r="H38" s="8"/>
    </row>
    <row r="39" spans="1:8">
      <c r="A39" s="8">
        <v>27</v>
      </c>
      <c r="B39" s="8" t="s">
        <v>60</v>
      </c>
      <c r="C39" s="8" t="s">
        <v>95</v>
      </c>
      <c r="D39" s="8" t="s">
        <v>96</v>
      </c>
      <c r="E39" s="9" t="s">
        <v>37</v>
      </c>
      <c r="F39" s="8" t="s">
        <v>8</v>
      </c>
      <c r="G39" s="8" t="s">
        <v>38</v>
      </c>
      <c r="H39" s="8"/>
    </row>
    <row r="40" spans="1:8">
      <c r="A40" s="8">
        <v>28</v>
      </c>
      <c r="B40" s="8" t="s">
        <v>97</v>
      </c>
      <c r="C40" s="8" t="s">
        <v>98</v>
      </c>
      <c r="D40" s="8" t="s">
        <v>99</v>
      </c>
      <c r="E40" s="9" t="s">
        <v>37</v>
      </c>
      <c r="F40" s="8" t="s">
        <v>8</v>
      </c>
      <c r="G40" s="8" t="s">
        <v>38</v>
      </c>
      <c r="H40" s="8"/>
    </row>
    <row r="41" spans="1:8">
      <c r="A41" s="8">
        <v>29</v>
      </c>
      <c r="B41" s="8" t="s">
        <v>97</v>
      </c>
      <c r="C41" s="8" t="s">
        <v>100</v>
      </c>
      <c r="D41" s="8" t="s">
        <v>101</v>
      </c>
      <c r="E41" s="9" t="s">
        <v>37</v>
      </c>
      <c r="F41" s="8" t="s">
        <v>8</v>
      </c>
      <c r="G41" s="8" t="s">
        <v>38</v>
      </c>
      <c r="H41" s="8"/>
    </row>
    <row r="42" spans="1:8">
      <c r="A42" s="8">
        <v>30</v>
      </c>
      <c r="B42" s="8" t="s">
        <v>97</v>
      </c>
      <c r="C42" s="8" t="s">
        <v>102</v>
      </c>
      <c r="D42" s="8" t="s">
        <v>103</v>
      </c>
      <c r="E42" s="9" t="s">
        <v>37</v>
      </c>
      <c r="F42" s="8" t="s">
        <v>8</v>
      </c>
      <c r="G42" s="8" t="s">
        <v>38</v>
      </c>
      <c r="H42" s="8"/>
    </row>
    <row r="43" spans="1:8">
      <c r="A43" s="8">
        <v>31</v>
      </c>
      <c r="B43" s="8" t="s">
        <v>97</v>
      </c>
      <c r="C43" s="8" t="s">
        <v>104</v>
      </c>
      <c r="D43" s="8" t="s">
        <v>105</v>
      </c>
      <c r="E43" s="9" t="s">
        <v>37</v>
      </c>
      <c r="F43" s="8" t="s">
        <v>8</v>
      </c>
      <c r="G43" s="8" t="s">
        <v>38</v>
      </c>
      <c r="H43" s="8"/>
    </row>
    <row r="44" spans="1:8">
      <c r="A44" s="8">
        <v>32</v>
      </c>
      <c r="B44" s="8" t="s">
        <v>106</v>
      </c>
      <c r="C44" s="8" t="s">
        <v>107</v>
      </c>
      <c r="D44" s="8" t="s">
        <v>108</v>
      </c>
      <c r="E44" s="9" t="s">
        <v>37</v>
      </c>
      <c r="F44" s="8" t="s">
        <v>8</v>
      </c>
      <c r="G44" s="8" t="s">
        <v>38</v>
      </c>
      <c r="H44" s="8"/>
    </row>
    <row r="45" spans="1:8">
      <c r="A45" s="8">
        <v>33</v>
      </c>
      <c r="B45" s="8" t="s">
        <v>106</v>
      </c>
      <c r="C45" s="8" t="s">
        <v>109</v>
      </c>
      <c r="D45" s="8" t="s">
        <v>110</v>
      </c>
      <c r="E45" s="10" t="s">
        <v>111</v>
      </c>
      <c r="F45" s="8" t="s">
        <v>112</v>
      </c>
      <c r="G45" s="8" t="s">
        <v>113</v>
      </c>
      <c r="H45" s="8"/>
    </row>
    <row r="46" spans="1:8">
      <c r="A46" s="8">
        <v>34</v>
      </c>
      <c r="B46" s="8" t="s">
        <v>106</v>
      </c>
      <c r="C46" s="8" t="s">
        <v>114</v>
      </c>
      <c r="D46" s="8" t="s">
        <v>115</v>
      </c>
      <c r="E46" s="9" t="s">
        <v>37</v>
      </c>
      <c r="F46" s="8" t="s">
        <v>8</v>
      </c>
      <c r="G46" s="8" t="s">
        <v>38</v>
      </c>
      <c r="H46" s="8"/>
    </row>
    <row r="47" spans="1:8">
      <c r="A47" s="8">
        <v>35</v>
      </c>
      <c r="B47" s="8" t="s">
        <v>106</v>
      </c>
      <c r="C47" s="8" t="s">
        <v>116</v>
      </c>
      <c r="D47" s="8" t="s">
        <v>117</v>
      </c>
      <c r="E47" s="9" t="s">
        <v>37</v>
      </c>
      <c r="F47" s="8" t="s">
        <v>8</v>
      </c>
      <c r="G47" s="8" t="s">
        <v>38</v>
      </c>
      <c r="H47" s="8"/>
    </row>
    <row r="48" spans="1:8">
      <c r="A48" s="8">
        <v>36</v>
      </c>
      <c r="B48" s="8" t="s">
        <v>118</v>
      </c>
      <c r="C48" s="8" t="s">
        <v>119</v>
      </c>
      <c r="D48" s="8" t="s">
        <v>120</v>
      </c>
      <c r="E48" s="9" t="s">
        <v>37</v>
      </c>
      <c r="F48" s="8" t="s">
        <v>8</v>
      </c>
      <c r="G48" s="8" t="s">
        <v>38</v>
      </c>
      <c r="H48" s="8"/>
    </row>
    <row r="49" spans="1:8">
      <c r="A49" s="8">
        <v>37</v>
      </c>
      <c r="B49" s="8" t="s">
        <v>118</v>
      </c>
      <c r="C49" s="8" t="s">
        <v>121</v>
      </c>
      <c r="D49" s="8" t="s">
        <v>122</v>
      </c>
      <c r="E49" s="9" t="s">
        <v>37</v>
      </c>
      <c r="F49" s="8" t="s">
        <v>8</v>
      </c>
      <c r="G49" s="8" t="s">
        <v>38</v>
      </c>
      <c r="H49" s="8"/>
    </row>
    <row r="50" spans="1:8">
      <c r="A50" s="8">
        <v>38</v>
      </c>
      <c r="B50" s="8" t="s">
        <v>118</v>
      </c>
      <c r="C50" s="8" t="s">
        <v>123</v>
      </c>
      <c r="D50" s="8" t="s">
        <v>124</v>
      </c>
      <c r="E50" s="9" t="s">
        <v>37</v>
      </c>
      <c r="F50" s="8" t="s">
        <v>8</v>
      </c>
      <c r="G50" s="8" t="s">
        <v>38</v>
      </c>
      <c r="H50" s="8"/>
    </row>
    <row r="51" spans="1:8">
      <c r="A51" s="8">
        <v>39</v>
      </c>
      <c r="B51" s="8" t="s">
        <v>125</v>
      </c>
      <c r="C51" s="8" t="s">
        <v>126</v>
      </c>
      <c r="D51" s="8" t="s">
        <v>127</v>
      </c>
      <c r="E51" s="9" t="s">
        <v>37</v>
      </c>
      <c r="F51" s="8" t="s">
        <v>8</v>
      </c>
      <c r="G51" s="8" t="s">
        <v>38</v>
      </c>
      <c r="H51" s="8"/>
    </row>
    <row r="52" spans="1:8">
      <c r="A52" s="8">
        <v>40</v>
      </c>
      <c r="B52" s="8" t="s">
        <v>125</v>
      </c>
      <c r="C52" s="8" t="s">
        <v>128</v>
      </c>
      <c r="D52" s="8" t="s">
        <v>129</v>
      </c>
      <c r="E52" s="9" t="s">
        <v>37</v>
      </c>
      <c r="F52" s="8" t="s">
        <v>8</v>
      </c>
      <c r="G52" s="8" t="s">
        <v>38</v>
      </c>
      <c r="H52" s="8"/>
    </row>
    <row r="53" spans="1:8">
      <c r="A53" s="8">
        <v>41</v>
      </c>
      <c r="B53" s="8" t="s">
        <v>130</v>
      </c>
      <c r="C53" s="8" t="s">
        <v>131</v>
      </c>
      <c r="D53" s="8" t="s">
        <v>132</v>
      </c>
      <c r="E53" s="10" t="s">
        <v>111</v>
      </c>
      <c r="F53" s="8" t="s">
        <v>133</v>
      </c>
      <c r="G53" s="8" t="s">
        <v>113</v>
      </c>
      <c r="H53" s="8"/>
    </row>
    <row r="54" spans="1:8">
      <c r="A54" s="8">
        <v>42</v>
      </c>
      <c r="B54" s="8" t="s">
        <v>130</v>
      </c>
      <c r="C54" s="8" t="s">
        <v>134</v>
      </c>
      <c r="D54" s="8" t="s">
        <v>135</v>
      </c>
      <c r="E54" s="9" t="s">
        <v>37</v>
      </c>
      <c r="F54" s="8" t="s">
        <v>8</v>
      </c>
      <c r="G54" s="8" t="s">
        <v>38</v>
      </c>
      <c r="H54" s="8"/>
    </row>
    <row r="55" spans="1:8">
      <c r="A55" s="8">
        <v>43</v>
      </c>
      <c r="B55" s="8" t="s">
        <v>136</v>
      </c>
      <c r="C55" s="8" t="s">
        <v>137</v>
      </c>
      <c r="D55" s="8" t="s">
        <v>138</v>
      </c>
      <c r="E55" s="9" t="s">
        <v>37</v>
      </c>
      <c r="F55" s="8" t="s">
        <v>8</v>
      </c>
      <c r="G55" s="8" t="s">
        <v>38</v>
      </c>
      <c r="H55" s="8"/>
    </row>
    <row r="57" spans="1:8" ht="30" customHeight="1">
      <c r="A57" s="5" t="s">
        <v>139</v>
      </c>
      <c r="B57" s="5"/>
      <c r="C57" s="8" t="s">
        <v>140</v>
      </c>
      <c r="D57" s="8"/>
      <c r="E57" s="8"/>
      <c r="F57" s="8"/>
      <c r="G57" s="8"/>
      <c r="H57" s="8"/>
    </row>
  </sheetData>
  <mergeCells count="5">
    <mergeCell ref="A1:H1"/>
    <mergeCell ref="A7:H7"/>
    <mergeCell ref="A11:H11"/>
    <mergeCell ref="A57:B57"/>
    <mergeCell ref="C57:H57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5" width="18.7109375" customWidth="1"/>
    <col min="6" max="6" width="16.7109375" customWidth="1"/>
    <col min="7" max="7" width="20.7109375" customWidth="1"/>
  </cols>
  <sheetData>
    <row r="1" spans="1:7" ht="28" customHeight="1">
      <c r="A1" s="1" t="s">
        <v>141</v>
      </c>
      <c r="B1" s="1"/>
      <c r="C1" s="1"/>
      <c r="D1" s="1"/>
      <c r="E1" s="1"/>
      <c r="F1" s="1"/>
      <c r="G1" s="1"/>
    </row>
    <row r="2" spans="1:7">
      <c r="A2" s="3" t="s">
        <v>142</v>
      </c>
    </row>
    <row r="4" spans="1:7" ht="22" customHeight="1">
      <c r="A4" s="4" t="s">
        <v>143</v>
      </c>
      <c r="B4" s="4"/>
      <c r="C4" s="4"/>
      <c r="D4" s="4"/>
      <c r="E4" s="4"/>
      <c r="F4" s="4"/>
      <c r="G4" s="4"/>
    </row>
    <row r="5" spans="1:7" ht="25" customHeight="1">
      <c r="A5" s="5" t="s">
        <v>144</v>
      </c>
      <c r="B5" s="5" t="s">
        <v>145</v>
      </c>
      <c r="C5" s="5" t="s">
        <v>146</v>
      </c>
      <c r="D5" s="5" t="s">
        <v>147</v>
      </c>
      <c r="E5" s="5" t="s">
        <v>148</v>
      </c>
      <c r="F5" s="5" t="s">
        <v>149</v>
      </c>
      <c r="G5" s="5" t="s">
        <v>150</v>
      </c>
    </row>
    <row r="6" spans="1:7">
      <c r="A6" s="8" t="s">
        <v>151</v>
      </c>
      <c r="B6" s="8" t="s">
        <v>152</v>
      </c>
      <c r="C6" s="11">
        <v>100000</v>
      </c>
      <c r="D6" s="11">
        <v>120000</v>
      </c>
      <c r="E6" s="11">
        <f>D6-C6</f>
        <v>20000.0</v>
      </c>
      <c r="F6" s="12">
        <f>IF(C6&lt;&gt;0, (D6-C6)/ABS(C6), 0)</f>
        <v>0.2</v>
      </c>
      <c r="G6" s="9" t="str">
        <f>IF(ABS(F6)&gt;0.1, "FLAGGED", "PASS")</f>
        <v>PASS</v>
      </c>
    </row>
    <row r="7" spans="1:7">
      <c r="A7" s="8" t="s">
        <v>151</v>
      </c>
      <c r="B7" s="8" t="s">
        <v>153</v>
      </c>
      <c r="C7" s="11">
        <v>210000</v>
      </c>
      <c r="D7" s="11">
        <v>250000</v>
      </c>
      <c r="E7" s="11">
        <f>D7-C7</f>
        <v>40000.0</v>
      </c>
      <c r="F7" s="12">
        <f>IF(C7&lt;&gt;0, (D7-C7)/ABS(C7), 0)</f>
        <v>0.1905</v>
      </c>
      <c r="G7" s="9" t="str">
        <f>IF(ABS(F7)&gt;0.1, "FLAGGED", "PASS")</f>
        <v>PASS</v>
      </c>
    </row>
    <row r="8" spans="1:7">
      <c r="A8" s="8" t="s">
        <v>151</v>
      </c>
      <c r="B8" s="8" t="s">
        <v>154</v>
      </c>
      <c r="C8" s="11">
        <v>160000</v>
      </c>
      <c r="D8" s="11">
        <v>180000</v>
      </c>
      <c r="E8" s="11">
        <f>D8-C8</f>
        <v>20000.0</v>
      </c>
      <c r="F8" s="12">
        <f>IF(C8&lt;&gt;0, (D8-C8)/ABS(C8), 0)</f>
        <v>0.125</v>
      </c>
      <c r="G8" s="9" t="str">
        <f>IF(ABS(F8)&gt;0.1, "FLAGGED", "PASS")</f>
        <v>PASS</v>
      </c>
    </row>
    <row r="9" spans="1:7">
      <c r="A9" s="8" t="s">
        <v>151</v>
      </c>
      <c r="B9" s="8" t="s">
        <v>155</v>
      </c>
      <c r="C9" s="11">
        <v>470000</v>
      </c>
      <c r="D9" s="11">
        <v>550000</v>
      </c>
      <c r="E9" s="11">
        <f>D9-C9</f>
        <v>80000.0</v>
      </c>
      <c r="F9" s="12">
        <f>IF(C9&lt;&gt;0, (D9-C9)/ABS(C9), 0)</f>
        <v>0.1702</v>
      </c>
      <c r="G9" s="9" t="str">
        <f>IF(ABS(F9)&gt;0.1, "FLAGGED", "PASS")</f>
        <v>PASS</v>
      </c>
    </row>
    <row r="10" spans="1:7">
      <c r="A10" s="8" t="s">
        <v>151</v>
      </c>
      <c r="B10" s="8" t="s">
        <v>156</v>
      </c>
      <c r="C10" s="11">
        <v>400000</v>
      </c>
      <c r="D10" s="11">
        <v>450000</v>
      </c>
      <c r="E10" s="11">
        <f>D10-C10</f>
        <v>50000.0</v>
      </c>
      <c r="F10" s="12">
        <f>IF(C10&lt;&gt;0, (D10-C10)/ABS(C10), 0)</f>
        <v>0.125</v>
      </c>
      <c r="G10" s="9" t="str">
        <f>IF(ABS(F10)&gt;0.1, "FLAGGED", "PASS")</f>
        <v>PASS</v>
      </c>
    </row>
    <row r="11" spans="1:7">
      <c r="A11" s="8" t="s">
        <v>151</v>
      </c>
      <c r="B11" s="8" t="s">
        <v>157</v>
      </c>
      <c r="C11" s="11">
        <v>870000</v>
      </c>
      <c r="D11" s="11">
        <v>1000000</v>
      </c>
      <c r="E11" s="11">
        <f>D11-C11</f>
        <v>130000.0</v>
      </c>
      <c r="F11" s="12">
        <f>IF(C11&lt;&gt;0, (D11-C11)/ABS(C11), 0)</f>
        <v>0.1494</v>
      </c>
      <c r="G11" s="10" t="str">
        <f>IF(ABS(F11)&gt;0.1, "FLAGGED", "PASS")</f>
        <v>FLAGGED</v>
      </c>
    </row>
    <row r="12" spans="1:7">
      <c r="A12" s="8" t="s">
        <v>151</v>
      </c>
      <c r="B12" s="8" t="s">
        <v>158</v>
      </c>
      <c r="C12" s="11">
        <v>110000</v>
      </c>
      <c r="D12" s="11">
        <v>120000</v>
      </c>
      <c r="E12" s="11">
        <f>D12-C12</f>
        <v>10000.0</v>
      </c>
      <c r="F12" s="12">
        <f>IF(C12&lt;&gt;0, (D12-C12)/ABS(C12), 0)</f>
        <v>0.0909</v>
      </c>
      <c r="G12" s="9" t="str">
        <f>IF(ABS(F12)&gt;0.1, "FLAGGED", "PASS")</f>
        <v>PASS</v>
      </c>
    </row>
    <row r="13" spans="1:7">
      <c r="A13" s="8" t="s">
        <v>151</v>
      </c>
      <c r="B13" s="8" t="s">
        <v>159</v>
      </c>
      <c r="C13" s="11">
        <v>50000</v>
      </c>
      <c r="D13" s="11">
        <v>60000</v>
      </c>
      <c r="E13" s="11">
        <f>D13-C13</f>
        <v>10000.0</v>
      </c>
      <c r="F13" s="12">
        <f>IF(C13&lt;&gt;0, (D13-C13)/ABS(C13), 0)</f>
        <v>0.2</v>
      </c>
      <c r="G13" s="9" t="str">
        <f>IF(ABS(F13)&gt;0.1, "FLAGGED", "PASS")</f>
        <v>PASS</v>
      </c>
    </row>
    <row r="14" spans="1:7">
      <c r="A14" s="8" t="s">
        <v>151</v>
      </c>
      <c r="B14" s="8" t="s">
        <v>160</v>
      </c>
      <c r="C14" s="11">
        <v>160000</v>
      </c>
      <c r="D14" s="11">
        <v>180000</v>
      </c>
      <c r="E14" s="11">
        <f>D14-C14</f>
        <v>20000.0</v>
      </c>
      <c r="F14" s="12">
        <f>IF(C14&lt;&gt;0, (D14-C14)/ABS(C14), 0)</f>
        <v>0.125</v>
      </c>
      <c r="G14" s="9" t="str">
        <f>IF(ABS(F14)&gt;0.1, "FLAGGED", "PASS")</f>
        <v>PASS</v>
      </c>
    </row>
    <row r="15" spans="1:7">
      <c r="A15" s="8" t="s">
        <v>151</v>
      </c>
      <c r="B15" s="8" t="s">
        <v>161</v>
      </c>
      <c r="C15" s="11">
        <v>230000</v>
      </c>
      <c r="D15" s="11">
        <v>250000</v>
      </c>
      <c r="E15" s="11">
        <f>D15-C15</f>
        <v>20000.0</v>
      </c>
      <c r="F15" s="12">
        <f>IF(C15&lt;&gt;0, (D15-C15)/ABS(C15), 0)</f>
        <v>0.087</v>
      </c>
      <c r="G15" s="9" t="str">
        <f>IF(ABS(F15)&gt;0.1, "FLAGGED", "PASS")</f>
        <v>PASS</v>
      </c>
    </row>
    <row r="16" spans="1:7">
      <c r="A16" s="8" t="s">
        <v>151</v>
      </c>
      <c r="B16" s="8" t="s">
        <v>162</v>
      </c>
      <c r="C16" s="11">
        <v>390000</v>
      </c>
      <c r="D16" s="11">
        <v>430000</v>
      </c>
      <c r="E16" s="11">
        <f>D16-C16</f>
        <v>40000.0</v>
      </c>
      <c r="F16" s="12">
        <f>IF(C16&lt;&gt;0, (D16-C16)/ABS(C16), 0)</f>
        <v>0.1026</v>
      </c>
      <c r="G16" s="9" t="str">
        <f>IF(ABS(F16)&gt;0.1, "FLAGGED", "PASS")</f>
        <v>PASS</v>
      </c>
    </row>
    <row r="17" spans="1:7">
      <c r="A17" s="8" t="s">
        <v>151</v>
      </c>
      <c r="B17" s="8" t="s">
        <v>163</v>
      </c>
      <c r="C17" s="11">
        <v>200000</v>
      </c>
      <c r="D17" s="11">
        <v>200000</v>
      </c>
      <c r="E17" s="11">
        <f>D17-C17</f>
        <v>0.0</v>
      </c>
      <c r="F17" s="12">
        <f>IF(C17&lt;&gt;0, (D17-C17)/ABS(C17), 0)</f>
        <v>0.0</v>
      </c>
      <c r="G17" s="9" t="str">
        <f>IF(ABS(F17)&gt;0.1, "FLAGGED", "PASS")</f>
        <v>PASS</v>
      </c>
    </row>
    <row r="18" spans="1:7">
      <c r="A18" s="8" t="s">
        <v>151</v>
      </c>
      <c r="B18" s="8" t="s">
        <v>164</v>
      </c>
      <c r="C18" s="11">
        <v>280000</v>
      </c>
      <c r="D18" s="11">
        <v>370000</v>
      </c>
      <c r="E18" s="11">
        <f>D18-C18</f>
        <v>90000.0</v>
      </c>
      <c r="F18" s="12">
        <f>IF(C18&lt;&gt;0, (D18-C18)/ABS(C18), 0)</f>
        <v>0.3214</v>
      </c>
      <c r="G18" s="9" t="str">
        <f>IF(ABS(F18)&gt;0.1, "FLAGGED", "PASS")</f>
        <v>PASS</v>
      </c>
    </row>
    <row r="19" spans="1:7">
      <c r="A19" s="8" t="s">
        <v>151</v>
      </c>
      <c r="B19" s="8" t="s">
        <v>165</v>
      </c>
      <c r="C19" s="11">
        <v>480000</v>
      </c>
      <c r="D19" s="11">
        <v>570000</v>
      </c>
      <c r="E19" s="11">
        <f>D19-C19</f>
        <v>90000.0</v>
      </c>
      <c r="F19" s="12">
        <f>IF(C19&lt;&gt;0, (D19-C19)/ABS(C19), 0)</f>
        <v>0.1875</v>
      </c>
      <c r="G19" s="9" t="str">
        <f>IF(ABS(F19)&gt;0.1, "FLAGGED", "PASS")</f>
        <v>PASS</v>
      </c>
    </row>
    <row r="20" spans="1:7">
      <c r="A20" s="8" t="s">
        <v>166</v>
      </c>
      <c r="B20" s="8" t="s">
        <v>167</v>
      </c>
      <c r="C20" s="11">
        <v>1300000</v>
      </c>
      <c r="D20" s="11">
        <v>1500000</v>
      </c>
      <c r="E20" s="11">
        <f>D20-C20</f>
        <v>200000.0</v>
      </c>
      <c r="F20" s="12">
        <f>IF(C20&lt;&gt;0, (D20-C20)/ABS(C20), 0)</f>
        <v>0.15380000000000002</v>
      </c>
      <c r="G20" s="10" t="str">
        <f>IF(ABS(F20)&gt;0.1, "FLAGGED", "PASS")</f>
        <v>FLAGGED</v>
      </c>
    </row>
    <row r="21" spans="1:7">
      <c r="A21" s="8" t="s">
        <v>166</v>
      </c>
      <c r="B21" s="8" t="s">
        <v>168</v>
      </c>
      <c r="C21" s="11">
        <v>800000</v>
      </c>
      <c r="D21" s="11">
        <v>900000</v>
      </c>
      <c r="E21" s="11">
        <f>D21-C21</f>
        <v>100000.0</v>
      </c>
      <c r="F21" s="12">
        <f>IF(C21&lt;&gt;0, (D21-C21)/ABS(C21), 0)</f>
        <v>0.125</v>
      </c>
      <c r="G21" s="10" t="str">
        <f>IF(ABS(F21)&gt;0.1, "FLAGGED", "PASS")</f>
        <v>FLAGGED</v>
      </c>
    </row>
    <row r="22" spans="1:7">
      <c r="A22" s="8" t="s">
        <v>166</v>
      </c>
      <c r="B22" s="8" t="s">
        <v>169</v>
      </c>
      <c r="C22" s="11">
        <v>500000</v>
      </c>
      <c r="D22" s="11">
        <v>600000</v>
      </c>
      <c r="E22" s="11">
        <f>D22-C22</f>
        <v>100000.0</v>
      </c>
      <c r="F22" s="12">
        <f>IF(C22&lt;&gt;0, (D22-C22)/ABS(C22), 0)</f>
        <v>0.2</v>
      </c>
      <c r="G22" s="10" t="str">
        <f>IF(ABS(F22)&gt;0.1, "FLAGGED", "PASS")</f>
        <v>FLAGGED</v>
      </c>
    </row>
    <row r="23" spans="1:7">
      <c r="A23" s="8" t="s">
        <v>166</v>
      </c>
      <c r="B23" s="8" t="s">
        <v>170</v>
      </c>
      <c r="C23" s="11">
        <v>260000</v>
      </c>
      <c r="D23" s="11">
        <v>300000</v>
      </c>
      <c r="E23" s="11">
        <f>D23-C23</f>
        <v>40000.0</v>
      </c>
      <c r="F23" s="12">
        <f>IF(C23&lt;&gt;0, (D23-C23)/ABS(C23), 0)</f>
        <v>0.15380000000000002</v>
      </c>
      <c r="G23" s="9" t="str">
        <f>IF(ABS(F23)&gt;0.1, "FLAGGED", "PASS")</f>
        <v>PASS</v>
      </c>
    </row>
    <row r="24" spans="1:7">
      <c r="A24" s="8" t="s">
        <v>166</v>
      </c>
      <c r="B24" s="8" t="s">
        <v>171</v>
      </c>
      <c r="C24" s="11">
        <v>240000</v>
      </c>
      <c r="D24" s="11">
        <v>300000</v>
      </c>
      <c r="E24" s="11">
        <f>D24-C24</f>
        <v>60000.0</v>
      </c>
      <c r="F24" s="12">
        <f>IF(C24&lt;&gt;0, (D24-C24)/ABS(C24), 0)</f>
        <v>0.25</v>
      </c>
      <c r="G24" s="9" t="str">
        <f>IF(ABS(F24)&gt;0.1, "FLAGGED", "PASS")</f>
        <v>PASS</v>
      </c>
    </row>
    <row r="25" spans="1:7">
      <c r="A25" s="8" t="s">
        <v>166</v>
      </c>
      <c r="B25" s="8" t="s">
        <v>172</v>
      </c>
      <c r="C25" s="11">
        <v>35000</v>
      </c>
      <c r="D25" s="11">
        <v>40000</v>
      </c>
      <c r="E25" s="11">
        <f>D25-C25</f>
        <v>5000.0</v>
      </c>
      <c r="F25" s="12">
        <f>IF(C25&lt;&gt;0, (D25-C25)/ABS(C25), 0)</f>
        <v>0.1429</v>
      </c>
      <c r="G25" s="9" t="str">
        <f>IF(ABS(F25)&gt;0.1, "FLAGGED", "PASS")</f>
        <v>PASS</v>
      </c>
    </row>
    <row r="26" spans="1:7">
      <c r="A26" s="8" t="s">
        <v>166</v>
      </c>
      <c r="B26" s="8" t="s">
        <v>173</v>
      </c>
      <c r="C26" s="11">
        <v>20000</v>
      </c>
      <c r="D26" s="11">
        <v>25000</v>
      </c>
      <c r="E26" s="11">
        <f>D26-C26</f>
        <v>5000.0</v>
      </c>
      <c r="F26" s="12">
        <f>IF(C26&lt;&gt;0, (D26-C26)/ABS(C26), 0)</f>
        <v>0.25</v>
      </c>
      <c r="G26" s="9" t="str">
        <f>IF(ABS(F26)&gt;0.1, "FLAGGED", "PASS")</f>
        <v>PASS</v>
      </c>
    </row>
    <row r="27" spans="1:7">
      <c r="A27" s="8" t="s">
        <v>166</v>
      </c>
      <c r="B27" s="8" t="s">
        <v>174</v>
      </c>
      <c r="C27" s="11">
        <v>220000</v>
      </c>
      <c r="D27" s="11">
        <v>275000</v>
      </c>
      <c r="E27" s="11">
        <f>D27-C27</f>
        <v>55000.0</v>
      </c>
      <c r="F27" s="12">
        <f>IF(C27&lt;&gt;0, (D27-C27)/ABS(C27), 0)</f>
        <v>0.25</v>
      </c>
      <c r="G27" s="9" t="str">
        <f>IF(ABS(F27)&gt;0.1, "FLAGGED", "PASS")</f>
        <v>PASS</v>
      </c>
    </row>
    <row r="28" spans="1:7">
      <c r="A28" s="8" t="s">
        <v>166</v>
      </c>
      <c r="B28" s="8" t="s">
        <v>175</v>
      </c>
      <c r="C28" s="11">
        <v>44000</v>
      </c>
      <c r="D28" s="11">
        <v>55000</v>
      </c>
      <c r="E28" s="11">
        <f>D28-C28</f>
        <v>11000.0</v>
      </c>
      <c r="F28" s="12">
        <f>IF(C28&lt;&gt;0, (D28-C28)/ABS(C28), 0)</f>
        <v>0.25</v>
      </c>
      <c r="G28" s="9" t="str">
        <f>IF(ABS(F28)&gt;0.1, "FLAGGED", "PASS")</f>
        <v>PASS</v>
      </c>
    </row>
    <row r="29" spans="1:7">
      <c r="A29" s="8" t="s">
        <v>166</v>
      </c>
      <c r="B29" s="8" t="s">
        <v>176</v>
      </c>
      <c r="C29" s="11">
        <v>176000</v>
      </c>
      <c r="D29" s="11">
        <v>220000</v>
      </c>
      <c r="E29" s="11">
        <f>D29-C29</f>
        <v>44000.0</v>
      </c>
      <c r="F29" s="12">
        <f>IF(C29&lt;&gt;0, (D29-C29)/ABS(C29), 0)</f>
        <v>0.25</v>
      </c>
      <c r="G29" s="9" t="str">
        <f>IF(ABS(F29)&gt;0.1, "FLAGGED", "PASS")</f>
        <v>PASS</v>
      </c>
    </row>
    <row r="31" spans="1:7" ht="22" customHeight="1">
      <c r="A31" s="4" t="s">
        <v>177</v>
      </c>
      <c r="B31" s="4"/>
      <c r="C31" s="4"/>
      <c r="D31" s="4"/>
      <c r="E31" s="4"/>
      <c r="F31" s="4"/>
      <c r="G31" s="4"/>
    </row>
    <row r="32" spans="1:7" ht="25" customHeight="1">
      <c r="A32" s="5" t="s">
        <v>178</v>
      </c>
      <c r="B32" s="5" t="s">
        <v>145</v>
      </c>
      <c r="C32" s="5" t="s">
        <v>179</v>
      </c>
      <c r="D32" s="5" t="s">
        <v>180</v>
      </c>
    </row>
    <row r="33" spans="1:4">
      <c r="A33" s="8" t="s">
        <v>181</v>
      </c>
      <c r="B33" s="8" t="s">
        <v>152</v>
      </c>
      <c r="C33" s="11">
        <v>120000</v>
      </c>
      <c r="D33" s="12">
        <f>C33/$C$38</f>
        <v>0.12</v>
      </c>
    </row>
    <row r="34" spans="1:4">
      <c r="A34" s="8" t="s">
        <v>182</v>
      </c>
      <c r="B34" s="8" t="s">
        <v>153</v>
      </c>
      <c r="C34" s="11">
        <v>250000</v>
      </c>
      <c r="D34" s="12">
        <f>C34/$C$38</f>
        <v>0.25</v>
      </c>
    </row>
    <row r="35" spans="1:4">
      <c r="A35" s="8" t="s">
        <v>154</v>
      </c>
      <c r="B35" s="8" t="s">
        <v>154</v>
      </c>
      <c r="C35" s="11">
        <v>180000</v>
      </c>
      <c r="D35" s="12">
        <f>C35/$C$38</f>
        <v>0.18</v>
      </c>
    </row>
    <row r="36" spans="1:4">
      <c r="A36" s="8" t="s">
        <v>183</v>
      </c>
      <c r="B36" s="8" t="s">
        <v>155</v>
      </c>
      <c r="C36" s="11">
        <v>550000</v>
      </c>
      <c r="D36" s="12">
        <f>C36/$C$38</f>
        <v>0.55</v>
      </c>
    </row>
    <row r="37" spans="1:4">
      <c r="A37" s="8" t="s">
        <v>184</v>
      </c>
      <c r="B37" s="8" t="s">
        <v>156</v>
      </c>
      <c r="C37" s="11">
        <v>450000</v>
      </c>
      <c r="D37" s="12">
        <f>C37/$C$38</f>
        <v>0.45</v>
      </c>
    </row>
    <row r="38" spans="1:4">
      <c r="A38" s="8" t="s">
        <v>185</v>
      </c>
      <c r="B38" s="8" t="s">
        <v>157</v>
      </c>
      <c r="C38" s="11">
        <v>1000000</v>
      </c>
      <c r="D38" s="12">
        <f>C38/$C$38</f>
        <v>1.0</v>
      </c>
    </row>
    <row r="39" spans="1:4">
      <c r="A39" s="8" t="s">
        <v>186</v>
      </c>
      <c r="B39" s="8" t="s">
        <v>158</v>
      </c>
      <c r="C39" s="11">
        <v>120000</v>
      </c>
      <c r="D39" s="12">
        <f>C39/$C$38</f>
        <v>0.12</v>
      </c>
    </row>
    <row r="40" spans="1:4">
      <c r="A40" s="8" t="s">
        <v>187</v>
      </c>
      <c r="B40" s="8" t="s">
        <v>159</v>
      </c>
      <c r="C40" s="11">
        <v>60000</v>
      </c>
      <c r="D40" s="12">
        <f>C40/$C$38</f>
        <v>0.06</v>
      </c>
    </row>
    <row r="41" spans="1:4">
      <c r="A41" s="8" t="s">
        <v>188</v>
      </c>
      <c r="B41" s="8" t="s">
        <v>160</v>
      </c>
      <c r="C41" s="11">
        <v>180000</v>
      </c>
      <c r="D41" s="12">
        <f>C41/$C$38</f>
        <v>0.18</v>
      </c>
    </row>
    <row r="42" spans="1:4">
      <c r="A42" s="8" t="s">
        <v>189</v>
      </c>
      <c r="B42" s="8" t="s">
        <v>161</v>
      </c>
      <c r="C42" s="11">
        <v>250000</v>
      </c>
      <c r="D42" s="12">
        <f>C42/$C$38</f>
        <v>0.25</v>
      </c>
    </row>
    <row r="43" spans="1:4">
      <c r="A43" s="8" t="s">
        <v>190</v>
      </c>
      <c r="B43" s="8" t="s">
        <v>162</v>
      </c>
      <c r="C43" s="11">
        <v>430000</v>
      </c>
      <c r="D43" s="12">
        <f>C43/$C$38</f>
        <v>0.43</v>
      </c>
    </row>
    <row r="44" spans="1:4">
      <c r="A44" s="8" t="s">
        <v>191</v>
      </c>
      <c r="B44" s="8" t="s">
        <v>163</v>
      </c>
      <c r="C44" s="11">
        <v>200000</v>
      </c>
      <c r="D44" s="12">
        <f>C44/$C$38</f>
        <v>0.2</v>
      </c>
    </row>
    <row r="45" spans="1:4">
      <c r="A45" s="8" t="s">
        <v>192</v>
      </c>
      <c r="B45" s="8" t="s">
        <v>164</v>
      </c>
      <c r="C45" s="11">
        <v>370000</v>
      </c>
      <c r="D45" s="12">
        <f>C45/$C$38</f>
        <v>0.37</v>
      </c>
    </row>
    <row r="46" spans="1:4">
      <c r="A46" s="8" t="s">
        <v>193</v>
      </c>
      <c r="B46" s="8" t="s">
        <v>165</v>
      </c>
      <c r="C46" s="11">
        <v>570000</v>
      </c>
      <c r="D46" s="12">
        <f>C46/$C$38</f>
        <v>0.57</v>
      </c>
    </row>
  </sheetData>
  <mergeCells count="3">
    <mergeCell ref="A1:G1"/>
    <mergeCell ref="A4:G4"/>
    <mergeCell ref="A31:G31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30.7109375" customWidth="1"/>
    <col min="4" max="4" width="40.7109375" customWidth="1"/>
    <col min="5" max="5" width="18.7109375" customWidth="1"/>
    <col min="6" max="6" width="55.7109375" customWidth="1"/>
  </cols>
  <sheetData>
    <row r="1" spans="1:7" ht="28" customHeight="1">
      <c r="A1" s="1" t="s">
        <v>194</v>
      </c>
      <c r="B1" s="1"/>
      <c r="C1" s="1"/>
      <c r="D1" s="1"/>
      <c r="E1" s="1"/>
      <c r="F1" s="1"/>
      <c r="G1" s="1"/>
    </row>
    <row r="4" spans="1:7" ht="22" customHeight="1">
      <c r="A4" s="4" t="s">
        <v>195</v>
      </c>
      <c r="B4" s="4"/>
      <c r="C4" s="4"/>
      <c r="D4" s="4"/>
      <c r="E4" s="4"/>
      <c r="F4" s="4"/>
      <c r="G4" s="4"/>
    </row>
    <row r="5" spans="1:7" ht="25" customHeight="1">
      <c r="A5" s="5" t="s">
        <v>196</v>
      </c>
      <c r="B5" s="5" t="s">
        <v>22</v>
      </c>
      <c r="C5" s="5" t="s">
        <v>197</v>
      </c>
      <c r="D5" s="5" t="s">
        <v>198</v>
      </c>
      <c r="E5" s="5" t="s">
        <v>199</v>
      </c>
      <c r="F5" s="5" t="s">
        <v>200</v>
      </c>
      <c r="G5" s="5" t="s">
        <v>25</v>
      </c>
    </row>
    <row r="6" spans="1:7">
      <c r="A6" s="8" t="s">
        <v>201</v>
      </c>
      <c r="B6" s="8" t="s">
        <v>202</v>
      </c>
      <c r="C6" s="8" t="s">
        <v>203</v>
      </c>
      <c r="D6" s="8" t="s">
        <v>204</v>
      </c>
      <c r="E6" s="7" t="s">
        <v>205</v>
      </c>
      <c r="F6" s="8" t="s">
        <v>8</v>
      </c>
      <c r="G6" s="9" t="s">
        <v>37</v>
      </c>
    </row>
    <row r="7" spans="1:7">
      <c r="A7" s="8" t="s">
        <v>206</v>
      </c>
      <c r="B7" s="8" t="s">
        <v>202</v>
      </c>
      <c r="C7" s="8" t="s">
        <v>207</v>
      </c>
      <c r="D7" s="8" t="s">
        <v>208</v>
      </c>
      <c r="E7" s="7" t="s">
        <v>209</v>
      </c>
      <c r="F7" s="8" t="s">
        <v>8</v>
      </c>
      <c r="G7" s="9" t="s">
        <v>37</v>
      </c>
    </row>
    <row r="8" spans="1:7">
      <c r="A8" s="8" t="s">
        <v>210</v>
      </c>
      <c r="B8" s="8" t="s">
        <v>202</v>
      </c>
      <c r="C8" s="8" t="s">
        <v>116</v>
      </c>
      <c r="D8" s="8" t="s">
        <v>211</v>
      </c>
      <c r="E8" s="7" t="s">
        <v>212</v>
      </c>
      <c r="F8" s="8" t="s">
        <v>8</v>
      </c>
      <c r="G8" s="9" t="s">
        <v>37</v>
      </c>
    </row>
    <row r="9" spans="1:7">
      <c r="A9" s="8" t="s">
        <v>213</v>
      </c>
      <c r="B9" s="8" t="s">
        <v>202</v>
      </c>
      <c r="C9" s="8" t="s">
        <v>214</v>
      </c>
      <c r="D9" s="8" t="s">
        <v>215</v>
      </c>
      <c r="E9" s="7" t="s">
        <v>216</v>
      </c>
      <c r="F9" s="8" t="s">
        <v>8</v>
      </c>
      <c r="G9" s="9" t="s">
        <v>37</v>
      </c>
    </row>
    <row r="10" spans="1:7">
      <c r="A10" s="8" t="s">
        <v>217</v>
      </c>
      <c r="B10" s="8" t="s">
        <v>218</v>
      </c>
      <c r="C10" s="8" t="s">
        <v>114</v>
      </c>
      <c r="D10" s="8" t="s">
        <v>219</v>
      </c>
      <c r="E10" s="7" t="s">
        <v>220</v>
      </c>
      <c r="F10" s="8" t="s">
        <v>8</v>
      </c>
      <c r="G10" s="9" t="s">
        <v>37</v>
      </c>
    </row>
    <row r="11" spans="1:7">
      <c r="A11" s="8" t="s">
        <v>221</v>
      </c>
      <c r="B11" s="8" t="s">
        <v>218</v>
      </c>
      <c r="C11" s="8" t="s">
        <v>222</v>
      </c>
      <c r="D11" s="8" t="s">
        <v>223</v>
      </c>
      <c r="E11" s="7" t="s">
        <v>224</v>
      </c>
      <c r="F11" s="8" t="s">
        <v>8</v>
      </c>
      <c r="G11" s="9" t="s">
        <v>37</v>
      </c>
    </row>
    <row r="12" spans="1:7">
      <c r="A12" s="8" t="s">
        <v>225</v>
      </c>
      <c r="B12" s="8" t="s">
        <v>218</v>
      </c>
      <c r="C12" s="8" t="s">
        <v>226</v>
      </c>
      <c r="D12" s="8" t="s">
        <v>227</v>
      </c>
      <c r="E12" s="7" t="s">
        <v>228</v>
      </c>
      <c r="F12" s="8" t="s">
        <v>8</v>
      </c>
      <c r="G12" s="9" t="s">
        <v>37</v>
      </c>
    </row>
    <row r="13" spans="1:7">
      <c r="A13" s="8" t="s">
        <v>229</v>
      </c>
      <c r="B13" s="8" t="s">
        <v>218</v>
      </c>
      <c r="C13" s="8" t="s">
        <v>230</v>
      </c>
      <c r="D13" s="8" t="s">
        <v>231</v>
      </c>
      <c r="E13" s="7" t="s">
        <v>232</v>
      </c>
      <c r="F13" s="8" t="s">
        <v>8</v>
      </c>
      <c r="G13" s="9" t="s">
        <v>37</v>
      </c>
    </row>
    <row r="14" spans="1:7">
      <c r="A14" s="8" t="s">
        <v>233</v>
      </c>
      <c r="B14" s="8" t="s">
        <v>234</v>
      </c>
      <c r="C14" s="8" t="s">
        <v>235</v>
      </c>
      <c r="D14" s="8" t="s">
        <v>236</v>
      </c>
      <c r="E14" s="7" t="s">
        <v>237</v>
      </c>
      <c r="F14" s="8" t="s">
        <v>8</v>
      </c>
      <c r="G14" s="9" t="s">
        <v>37</v>
      </c>
    </row>
    <row r="15" spans="1:7">
      <c r="A15" s="8" t="s">
        <v>238</v>
      </c>
      <c r="B15" s="8" t="s">
        <v>234</v>
      </c>
      <c r="C15" s="8" t="s">
        <v>239</v>
      </c>
      <c r="D15" s="8" t="s">
        <v>240</v>
      </c>
      <c r="E15" s="7" t="s">
        <v>241</v>
      </c>
      <c r="F15" s="8" t="s">
        <v>8</v>
      </c>
      <c r="G15" s="9" t="s">
        <v>37</v>
      </c>
    </row>
    <row r="16" spans="1:7">
      <c r="A16" s="8" t="s">
        <v>242</v>
      </c>
      <c r="B16" s="8" t="s">
        <v>234</v>
      </c>
      <c r="C16" s="8" t="s">
        <v>243</v>
      </c>
      <c r="D16" s="8" t="s">
        <v>244</v>
      </c>
      <c r="E16" s="7" t="s">
        <v>241</v>
      </c>
      <c r="F16" s="8" t="s">
        <v>8</v>
      </c>
      <c r="G16" s="9" t="s">
        <v>37</v>
      </c>
    </row>
    <row r="18" spans="1:7" ht="22" customHeight="1">
      <c r="A18" s="4" t="s">
        <v>245</v>
      </c>
      <c r="B18" s="4"/>
      <c r="C18" s="4"/>
      <c r="D18" s="4"/>
      <c r="E18" s="4"/>
      <c r="F18" s="4"/>
      <c r="G18" s="4"/>
    </row>
    <row r="19" spans="1:7" ht="25" customHeight="1">
      <c r="A19" s="5" t="s">
        <v>196</v>
      </c>
      <c r="B19" s="5" t="s">
        <v>246</v>
      </c>
      <c r="C19" s="5" t="s">
        <v>247</v>
      </c>
      <c r="D19" s="5" t="s">
        <v>248</v>
      </c>
      <c r="E19" s="5" t="s">
        <v>25</v>
      </c>
      <c r="F19" s="5" t="s">
        <v>249</v>
      </c>
    </row>
    <row r="20" spans="1:7">
      <c r="A20" s="8" t="s">
        <v>250</v>
      </c>
      <c r="B20" s="8" t="s">
        <v>251</v>
      </c>
      <c r="C20" s="8" t="s">
        <v>252</v>
      </c>
      <c r="D20" s="8" t="s">
        <v>253</v>
      </c>
      <c r="E20" s="9" t="s">
        <v>37</v>
      </c>
      <c r="F20" s="8" t="s">
        <v>254</v>
      </c>
    </row>
    <row r="21" spans="1:7">
      <c r="A21" s="8" t="s">
        <v>255</v>
      </c>
      <c r="B21" s="8" t="s">
        <v>256</v>
      </c>
      <c r="C21" s="8" t="s">
        <v>257</v>
      </c>
      <c r="D21" s="8" t="s">
        <v>258</v>
      </c>
      <c r="E21" s="9" t="s">
        <v>37</v>
      </c>
      <c r="F21" s="8" t="s">
        <v>259</v>
      </c>
    </row>
    <row r="22" spans="1:7">
      <c r="A22" s="8" t="s">
        <v>260</v>
      </c>
      <c r="B22" s="8" t="s">
        <v>261</v>
      </c>
      <c r="C22" s="8" t="s">
        <v>262</v>
      </c>
      <c r="D22" s="8" t="s">
        <v>263</v>
      </c>
      <c r="E22" s="9" t="s">
        <v>37</v>
      </c>
      <c r="F22" s="8" t="s">
        <v>264</v>
      </c>
    </row>
    <row r="23" spans="1:7">
      <c r="A23" s="8" t="s">
        <v>265</v>
      </c>
      <c r="B23" s="8" t="s">
        <v>266</v>
      </c>
      <c r="C23" s="8" t="s">
        <v>267</v>
      </c>
      <c r="D23" s="8" t="s">
        <v>268</v>
      </c>
      <c r="E23" s="9" t="s">
        <v>37</v>
      </c>
      <c r="F23" s="8" t="s">
        <v>269</v>
      </c>
    </row>
    <row r="24" spans="1:7">
      <c r="A24" s="8" t="s">
        <v>270</v>
      </c>
      <c r="B24" s="8" t="s">
        <v>271</v>
      </c>
      <c r="C24" s="8" t="s">
        <v>272</v>
      </c>
      <c r="D24" s="8" t="s">
        <v>273</v>
      </c>
      <c r="E24" s="9" t="s">
        <v>37</v>
      </c>
      <c r="F24" s="8" t="s">
        <v>274</v>
      </c>
    </row>
    <row r="25" spans="1:7">
      <c r="A25" s="8" t="s">
        <v>275</v>
      </c>
      <c r="B25" s="8" t="s">
        <v>276</v>
      </c>
      <c r="C25" s="8" t="s">
        <v>277</v>
      </c>
      <c r="D25" s="8" t="s">
        <v>278</v>
      </c>
      <c r="E25" s="9" t="s">
        <v>37</v>
      </c>
      <c r="F25" s="8" t="s">
        <v>279</v>
      </c>
    </row>
  </sheetData>
  <mergeCells count="3">
    <mergeCell ref="A1:G1"/>
    <mergeCell ref="A4:G4"/>
    <mergeCell ref="A18:G18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22.7109375" customWidth="1"/>
  </cols>
  <sheetData>
    <row r="1" spans="1:7" ht="28" customHeight="1">
      <c r="A1" s="1" t="s">
        <v>280</v>
      </c>
      <c r="B1" s="1"/>
      <c r="C1" s="1"/>
      <c r="D1" s="1"/>
      <c r="E1" s="1"/>
      <c r="F1" s="1"/>
      <c r="G1" s="1"/>
    </row>
    <row r="4" spans="1:7" ht="22" customHeight="1">
      <c r="A4" s="4" t="s">
        <v>281</v>
      </c>
      <c r="B4" s="4"/>
      <c r="C4" s="4"/>
      <c r="D4" s="4"/>
      <c r="E4" s="4"/>
      <c r="F4" s="4"/>
      <c r="G4" s="4"/>
    </row>
    <row r="5" spans="1:7" ht="25" customHeight="1">
      <c r="A5" s="5" t="s">
        <v>282</v>
      </c>
      <c r="B5" s="5" t="s">
        <v>283</v>
      </c>
    </row>
    <row r="6" spans="1:7">
      <c r="A6" s="8" t="s">
        <v>167</v>
      </c>
      <c r="B6" s="12">
        <v>0.1538</v>
      </c>
    </row>
    <row r="7" spans="1:7">
      <c r="A7" s="8" t="s">
        <v>169</v>
      </c>
      <c r="B7" s="12">
        <v>0.2</v>
      </c>
    </row>
    <row r="8" spans="1:7">
      <c r="A8" s="8" t="s">
        <v>171</v>
      </c>
      <c r="B8" s="12">
        <v>0.25</v>
      </c>
    </row>
    <row r="9" spans="1:7">
      <c r="A9" s="8" t="s">
        <v>176</v>
      </c>
      <c r="B9" s="12">
        <v>0.25</v>
      </c>
    </row>
    <row r="10" spans="1:7">
      <c r="A10" s="8" t="s">
        <v>157</v>
      </c>
      <c r="B10" s="12">
        <v>0.1494</v>
      </c>
    </row>
    <row r="12" spans="1:7" ht="22" customHeight="1">
      <c r="A12" s="4" t="s">
        <v>284</v>
      </c>
      <c r="B12" s="4"/>
      <c r="C12" s="4"/>
      <c r="D12" s="4"/>
      <c r="E12" s="4"/>
      <c r="F12" s="4"/>
      <c r="G12" s="4"/>
    </row>
    <row r="13" spans="1:7" ht="25" customHeight="1">
      <c r="A13" s="5" t="s">
        <v>285</v>
      </c>
      <c r="B13" s="5" t="s">
        <v>286</v>
      </c>
      <c r="C13" s="5" t="s">
        <v>287</v>
      </c>
      <c r="D13" s="5" t="s">
        <v>288</v>
      </c>
      <c r="E13" s="5" t="s">
        <v>289</v>
      </c>
      <c r="F13" s="5" t="s">
        <v>290</v>
      </c>
      <c r="G13" s="5" t="s">
        <v>291</v>
      </c>
    </row>
    <row r="14" spans="1:7">
      <c r="A14" s="8" t="s">
        <v>292</v>
      </c>
      <c r="B14" s="12">
        <v>0.3846</v>
      </c>
      <c r="C14" s="8" t="s">
        <v>8</v>
      </c>
      <c r="D14" s="12">
        <v>0.1846</v>
      </c>
      <c r="E14" s="8" t="s">
        <v>8</v>
      </c>
      <c r="F14" s="12">
        <v>0.1354</v>
      </c>
      <c r="G14" s="8" t="s">
        <v>8</v>
      </c>
    </row>
    <row r="15" spans="1:7">
      <c r="A15" s="8" t="s">
        <v>293</v>
      </c>
      <c r="B15" s="12">
        <v>0.4</v>
      </c>
      <c r="C15" s="8">
        <v>153.8</v>
      </c>
      <c r="D15" s="12">
        <v>0.2</v>
      </c>
      <c r="E15" s="8">
        <v>153.8</v>
      </c>
      <c r="F15" s="12">
        <v>0.1467</v>
      </c>
      <c r="G15" s="8">
        <v>112.8</v>
      </c>
    </row>
    <row r="17" spans="1:7" ht="22" customHeight="1">
      <c r="A17" s="4" t="s">
        <v>294</v>
      </c>
      <c r="B17" s="4"/>
      <c r="C17" s="4"/>
      <c r="D17" s="4"/>
      <c r="E17" s="4"/>
      <c r="F17" s="4"/>
      <c r="G17" s="4"/>
    </row>
    <row r="18" spans="1:7" ht="25" customHeight="1">
      <c r="A18" s="5" t="s">
        <v>285</v>
      </c>
      <c r="B18" s="5" t="s">
        <v>295</v>
      </c>
      <c r="C18" s="5" t="s">
        <v>296</v>
      </c>
      <c r="D18" s="5" t="s">
        <v>297</v>
      </c>
      <c r="E18" s="5" t="s">
        <v>298</v>
      </c>
    </row>
    <row r="19" spans="1:7">
      <c r="A19" s="8" t="s">
        <v>292</v>
      </c>
      <c r="B19" s="7">
        <v>73</v>
      </c>
      <c r="C19" s="7">
        <v>59</v>
      </c>
      <c r="D19" s="7">
        <v>50.2</v>
      </c>
      <c r="E19" s="7">
        <f>B19+C19-D19</f>
        <v>81.8</v>
      </c>
    </row>
    <row r="20" spans="1:7">
      <c r="A20" s="8" t="s">
        <v>293</v>
      </c>
      <c r="B20" s="7">
        <v>73</v>
      </c>
      <c r="C20" s="7">
        <v>60.8</v>
      </c>
      <c r="D20" s="7">
        <v>48.7</v>
      </c>
      <c r="E20" s="7">
        <f>B20+C20-D20</f>
        <v>85.2</v>
      </c>
    </row>
    <row r="22" spans="1:7" ht="22" customHeight="1">
      <c r="A22" s="4" t="s">
        <v>299</v>
      </c>
      <c r="B22" s="4"/>
      <c r="C22" s="4"/>
      <c r="D22" s="4"/>
      <c r="E22" s="4"/>
      <c r="F22" s="4"/>
      <c r="G22" s="4"/>
    </row>
    <row r="23" spans="1:7" ht="25" customHeight="1">
      <c r="A23" s="5" t="s">
        <v>285</v>
      </c>
      <c r="B23" s="5" t="s">
        <v>171</v>
      </c>
      <c r="C23" s="5" t="s">
        <v>300</v>
      </c>
      <c r="D23" s="5" t="s">
        <v>301</v>
      </c>
      <c r="E23" s="5" t="s">
        <v>302</v>
      </c>
      <c r="F23" s="5" t="s">
        <v>303</v>
      </c>
      <c r="G23" s="5" t="s">
        <v>304</v>
      </c>
    </row>
    <row r="24" spans="1:7">
      <c r="A24" s="8" t="s">
        <v>292</v>
      </c>
      <c r="B24" s="11">
        <v>240000</v>
      </c>
      <c r="C24" s="11">
        <v>180000</v>
      </c>
      <c r="D24" s="11">
        <v>35000</v>
      </c>
      <c r="E24" s="11">
        <v>70000</v>
      </c>
      <c r="F24" s="11">
        <v>0</v>
      </c>
      <c r="G24" s="11">
        <f>C24+D24-E24-F24</f>
        <v>145000.0</v>
      </c>
    </row>
    <row r="25" spans="1:7">
      <c r="A25" s="8" t="s">
        <v>293</v>
      </c>
      <c r="B25" s="11">
        <v>300000</v>
      </c>
      <c r="C25" s="11">
        <v>225000</v>
      </c>
      <c r="D25" s="11">
        <v>40000</v>
      </c>
      <c r="E25" s="11">
        <v>90000</v>
      </c>
      <c r="F25" s="11">
        <v>50000</v>
      </c>
      <c r="G25" s="11">
        <f>C25+D25-E25-F25</f>
        <v>125000.0</v>
      </c>
    </row>
  </sheetData>
  <mergeCells count="5">
    <mergeCell ref="A1:G1"/>
    <mergeCell ref="A4:G4"/>
    <mergeCell ref="A12:G12"/>
    <mergeCell ref="A17:G17"/>
    <mergeCell ref="A22:G22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6.7109375" customWidth="1"/>
    <col min="3" max="3" width="15.7109375" customWidth="1"/>
    <col min="4" max="4" width="48.7109375" customWidth="1"/>
    <col min="5" max="7" width="18.7109375" customWidth="1"/>
    <col min="8" max="8" width="55.7109375" customWidth="1"/>
  </cols>
  <sheetData>
    <row r="1" spans="1:8" ht="28" customHeight="1">
      <c r="A1" s="1" t="s">
        <v>305</v>
      </c>
      <c r="B1" s="1"/>
      <c r="C1" s="1"/>
      <c r="D1" s="1"/>
      <c r="E1" s="1"/>
      <c r="F1" s="1"/>
      <c r="G1" s="1"/>
      <c r="H1" s="1"/>
    </row>
    <row r="4" spans="1:8" ht="25" customHeight="1">
      <c r="A4" s="5" t="s">
        <v>306</v>
      </c>
      <c r="B4" s="5" t="s">
        <v>196</v>
      </c>
      <c r="C4" s="5" t="s">
        <v>307</v>
      </c>
      <c r="D4" s="5" t="s">
        <v>308</v>
      </c>
      <c r="E4" s="5" t="s">
        <v>309</v>
      </c>
      <c r="F4" s="5" t="s">
        <v>310</v>
      </c>
      <c r="G4" s="5" t="s">
        <v>311</v>
      </c>
      <c r="H4" s="5" t="s">
        <v>312</v>
      </c>
    </row>
    <row r="5" spans="1:8">
      <c r="A5" s="8" t="s">
        <v>313</v>
      </c>
      <c r="B5" s="8" t="s">
        <v>31</v>
      </c>
      <c r="C5" s="6" t="s">
        <v>314</v>
      </c>
      <c r="D5" s="8" t="s">
        <v>30</v>
      </c>
      <c r="E5" s="11">
        <v>1570000.00</v>
      </c>
      <c r="F5" s="11">
        <v>1000000.00</v>
      </c>
      <c r="G5" s="11">
        <f>F5-E5</f>
        <v>570000.00</v>
      </c>
      <c r="H5" s="8" t="s">
        <v>315</v>
      </c>
    </row>
    <row r="6" spans="1:8">
      <c r="A6" s="8" t="s">
        <v>316</v>
      </c>
      <c r="B6" s="8" t="s">
        <v>44</v>
      </c>
      <c r="C6" s="6" t="s">
        <v>314</v>
      </c>
      <c r="D6" s="8" t="s">
        <v>43</v>
      </c>
      <c r="E6" s="11">
        <v>430000.00</v>
      </c>
      <c r="F6" s="11">
        <v>1000000.00</v>
      </c>
      <c r="G6" s="11">
        <f>F6-E6</f>
        <v>570000.00</v>
      </c>
      <c r="H6" s="8" t="s">
        <v>315</v>
      </c>
    </row>
    <row r="7" spans="1:8">
      <c r="A7" s="8" t="s">
        <v>317</v>
      </c>
      <c r="B7" s="8" t="s">
        <v>51</v>
      </c>
      <c r="C7" s="6" t="s">
        <v>314</v>
      </c>
      <c r="D7" s="8" t="s">
        <v>50</v>
      </c>
      <c r="E7" s="11">
        <v>260000.00</v>
      </c>
      <c r="F7" s="11">
        <v>300000.00</v>
      </c>
      <c r="G7" s="11">
        <f>F7-E7</f>
        <v>40000.00</v>
      </c>
      <c r="H7" s="8" t="s">
        <v>315</v>
      </c>
    </row>
    <row r="8" spans="1:8">
      <c r="A8" s="8" t="s">
        <v>318</v>
      </c>
      <c r="B8" s="8" t="s">
        <v>56</v>
      </c>
      <c r="C8" s="6" t="s">
        <v>314</v>
      </c>
      <c r="D8" s="8" t="s">
        <v>55</v>
      </c>
      <c r="E8" s="11">
        <v>20000.00</v>
      </c>
      <c r="F8" s="11">
        <v>0.00</v>
      </c>
      <c r="G8" s="11">
        <f>F8-E8</f>
        <v>20000.00</v>
      </c>
      <c r="H8" s="8" t="s">
        <v>315</v>
      </c>
    </row>
    <row r="9" spans="1:8">
      <c r="A9" s="8" t="s">
        <v>319</v>
      </c>
      <c r="B9" s="8" t="s">
        <v>64</v>
      </c>
      <c r="C9" s="6" t="s">
        <v>314</v>
      </c>
      <c r="D9" s="8" t="s">
        <v>63</v>
      </c>
      <c r="E9" s="11">
        <v>120000.00</v>
      </c>
      <c r="F9" s="11">
        <v>0.00</v>
      </c>
      <c r="G9" s="11">
        <f>F9-E9</f>
        <v>120000.00</v>
      </c>
      <c r="H9" s="8" t="s">
        <v>315</v>
      </c>
    </row>
    <row r="10" spans="1:8">
      <c r="A10" s="8" t="s">
        <v>320</v>
      </c>
      <c r="B10" s="8" t="s">
        <v>67</v>
      </c>
      <c r="C10" s="6" t="s">
        <v>314</v>
      </c>
      <c r="D10" s="8" t="s">
        <v>66</v>
      </c>
      <c r="E10" s="11">
        <v>500000.00</v>
      </c>
      <c r="F10" s="11">
        <v>370000.00</v>
      </c>
      <c r="G10" s="11">
        <f>F10-E10</f>
        <v>130000.00</v>
      </c>
      <c r="H10" s="8" t="s">
        <v>315</v>
      </c>
    </row>
  </sheetData>
  <mergeCells count="1">
    <mergeCell ref="A1:H1"/>
  </mergeCell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5.7109375" customWidth="1"/>
    <col min="4" max="4" width="30.7109375" customWidth="1"/>
    <col min="5" max="5" width="15.7109375" customWidth="1"/>
    <col min="6" max="6" width="55.7109375" customWidth="1"/>
  </cols>
  <sheetData>
    <row r="1" spans="1:6" ht="28" customHeight="1">
      <c r="A1" s="1" t="s">
        <v>321</v>
      </c>
      <c r="B1" s="1"/>
      <c r="C1" s="1"/>
      <c r="D1" s="1"/>
      <c r="E1" s="1"/>
      <c r="F1" s="1"/>
    </row>
    <row r="4" spans="1:6" ht="22" customHeight="1">
      <c r="A4" s="4" t="s">
        <v>322</v>
      </c>
      <c r="B4" s="4"/>
      <c r="C4" s="4"/>
      <c r="D4" s="4"/>
      <c r="E4" s="4"/>
      <c r="F4" s="4"/>
    </row>
    <row r="5" spans="1:6" ht="25" customHeight="1">
      <c r="A5" s="5" t="s">
        <v>323</v>
      </c>
      <c r="B5" s="5" t="s">
        <v>324</v>
      </c>
      <c r="C5" s="5" t="s">
        <v>325</v>
      </c>
      <c r="D5" s="5" t="s">
        <v>326</v>
      </c>
      <c r="E5" s="5" t="s">
        <v>327</v>
      </c>
    </row>
    <row r="6" spans="1:6">
      <c r="A6" s="7" t="s">
        <v>328</v>
      </c>
      <c r="B6" s="8" t="s">
        <v>329</v>
      </c>
      <c r="C6" s="6" t="s">
        <v>330</v>
      </c>
      <c r="D6" s="8" t="s">
        <v>331</v>
      </c>
      <c r="E6" s="8" t="s">
        <v>332</v>
      </c>
    </row>
    <row r="7" spans="1:6">
      <c r="A7" s="7" t="s">
        <v>333</v>
      </c>
      <c r="B7" s="8" t="s">
        <v>334</v>
      </c>
      <c r="C7" s="6" t="s">
        <v>37</v>
      </c>
      <c r="D7" s="8" t="s">
        <v>335</v>
      </c>
      <c r="E7" s="8" t="s">
        <v>336</v>
      </c>
    </row>
    <row r="8" spans="1:6">
      <c r="A8" s="7" t="s">
        <v>337</v>
      </c>
      <c r="B8" s="8" t="s">
        <v>338</v>
      </c>
      <c r="C8" s="8" t="s">
        <v>339</v>
      </c>
      <c r="D8" s="8" t="s">
        <v>340</v>
      </c>
      <c r="E8" s="8" t="s">
        <v>341</v>
      </c>
    </row>
  </sheetData>
  <mergeCells count="2">
    <mergeCell ref="A1:F1"/>
    <mergeCell ref="A4:F4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WP-514 Review</vt:lpstr>
      <vt:lpstr>Financial Analytics</vt:lpstr>
      <vt:lpstr>Ratio &amp; Disconnect Analysis</vt:lpstr>
      <vt:lpstr>Historical Analysis</vt:lpstr>
      <vt:lpstr>Findings &amp; Exceptions</vt:lpstr>
      <vt:lpstr>Forensic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2026-09-09T17:33:17Z</dcterms:created>
  <dcterms:modified xsi:type="dcterms:W3CDTF">2026-09-09T17:33:17Z</dcterms:modified>
</cp:coreProperties>
</file>