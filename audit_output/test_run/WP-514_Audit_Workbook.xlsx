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P-514 Review" sheetId="1" r:id="rId1"/>
    <sheet name="Financial Analytics" sheetId="2" r:id="rId2"/>
    <sheet name="Ratio &amp; Disconnect Analysis" sheetId="3" r:id="rId3"/>
    <sheet name="Historical Analysis" sheetId="4" r:id="rId4"/>
    <sheet name="Findings &amp; Exceptions" sheetId="5" r:id="rId5"/>
    <sheet name="Forensic Analytics" sheetId="6" r:id="rId6"/>
  </sheets>
  <calcPr calcId="124519" fullCalcOnLoad="1"/>
</workbook>
</file>

<file path=xl/sharedStrings.xml><?xml version="1.0" encoding="utf-8"?>
<sst xmlns="http://schemas.openxmlformats.org/spreadsheetml/2006/main" count="340" uniqueCount="163">
  <si>
    <t>WORKPAPER WP-514: FINANCIAL STATEMENT REVIEW</t>
  </si>
  <si>
    <t>Client / Entity</t>
  </si>
  <si>
    <t>Acme Corp</t>
  </si>
  <si>
    <t>Period End</t>
  </si>
  <si>
    <t>FY 2025</t>
  </si>
  <si>
    <t>Currency</t>
  </si>
  <si>
    <t>USD</t>
  </si>
  <si>
    <t>Scale</t>
  </si>
  <si>
    <t>-</t>
  </si>
  <si>
    <t>Framework</t>
  </si>
  <si>
    <t>US GAAP / IFRS</t>
  </si>
  <si>
    <t>Review Stage</t>
  </si>
  <si>
    <t>CY_Final</t>
  </si>
  <si>
    <t>REVIEW STATUS</t>
  </si>
  <si>
    <t>Audit Status</t>
  </si>
  <si>
    <t>Total Procedures</t>
  </si>
  <si>
    <t>Passed Procedures</t>
  </si>
  <si>
    <t>Open Findings</t>
  </si>
  <si>
    <t>REJECTED</t>
  </si>
  <si>
    <t>ONES</t>
  </si>
  <si>
    <t>FINANCIAL STATEMENT REVIEW &amp; CONTROL PROCEDURES</t>
  </si>
  <si>
    <t>Step #</t>
  </si>
  <si>
    <t>Category</t>
  </si>
  <si>
    <t>Review Procedure / Control Test</t>
  </si>
  <si>
    <t>Reference</t>
  </si>
  <si>
    <t>Status</t>
  </si>
  <si>
    <t>Issue / Exception</t>
  </si>
  <si>
    <t>Resolution</t>
  </si>
  <si>
    <t>Workpaper Note</t>
  </si>
  <si>
    <t>Mathematical Accuracy</t>
  </si>
  <si>
    <t>Balance Sheet Equilibrium: Total Assets == Total Liabilities + Total Stockholders' Equity</t>
  </si>
  <si>
    <t>MATH_01</t>
  </si>
  <si>
    <t>FAIL</t>
  </si>
  <si>
    <t>Discrepancy of 570,000.00: Expected 1,570,000.00, Actual 1,000,000.00</t>
  </si>
  <si>
    <t>Audit Action: REJECTED</t>
  </si>
  <si>
    <t>Current Assets Footing: Total Current Assets == Cash + AR + Inventory + Prepaid Expenses</t>
  </si>
  <si>
    <t>MATH_02</t>
  </si>
  <si>
    <t>PASS</t>
  </si>
  <si>
    <t>no action required.</t>
  </si>
  <si>
    <t>Total Assets Footing: Total Assets == Total Current Assets + Total Non-Current Assets</t>
  </si>
  <si>
    <t>MATH_03</t>
  </si>
  <si>
    <t>Current Liabilities Footing: Total Current Liabilities == AP + Short-Term Debt + Accrued Expenses</t>
  </si>
  <si>
    <t>MATH_04</t>
  </si>
  <si>
    <t>Total Liabilities Footing: Total Liabilities == Total Current Liabilities + Total Non-Current Liabilities</t>
  </si>
  <si>
    <t>MATH_05</t>
  </si>
  <si>
    <t>Discrepancy of 570,000.00: Expected 430,000.00, Actual 1,000,000.00</t>
  </si>
  <si>
    <t>Stockholders' Equity Footing: Equity == Common Stock + APIC + Retained Earnings + AOCI</t>
  </si>
  <si>
    <t>MATH_06</t>
  </si>
  <si>
    <t>Gross Profit Calculation: Gross Profit == Revenue - Cost of Goods Sold</t>
  </si>
  <si>
    <t>MATH_07</t>
  </si>
  <si>
    <t>Operating Income Calculation: Operating Income == Gross Profit - Operating Expenses</t>
  </si>
  <si>
    <t>MATH_08</t>
  </si>
  <si>
    <t>Discrepancy of 40,000.00: Expected 260,000.00, Actual 300,000.00</t>
  </si>
  <si>
    <t>Net Income Calculation: Net Income == Operating Income - Interest - Taxes</t>
  </si>
  <si>
    <t>MATH_09</t>
  </si>
  <si>
    <t>Cash Flow Net Change: Net Change in Cash == Operating CF + Investing CF + Financing CF</t>
  </si>
  <si>
    <t>MATH_10</t>
  </si>
  <si>
    <t>Discrepancy of 20,000.00: Expected 20,000.00, Actual 0.00</t>
  </si>
  <si>
    <t>Cash Flow Ending Cash: Ending Cash == Beginning Cash + Net Change in Cash</t>
  </si>
  <si>
    <t>MATH_11</t>
  </si>
  <si>
    <t>Internal Consistency</t>
  </si>
  <si>
    <t>Net Income Reconciliation: IS Net Income == CFS Starting Net Income</t>
  </si>
  <si>
    <t>TIEOUT_01</t>
  </si>
  <si>
    <t>Ending Cash Tie-Out: CFS Ending Cash == Balance Sheet Cash &amp; Cash Equivalents</t>
  </si>
  <si>
    <t>TIEOUT_02</t>
  </si>
  <si>
    <t>Discrepancy of 120,000.00: Expected 120,000.00, Actual 0.00</t>
  </si>
  <si>
    <t>Retained Earnings Roll-Forward: Ending RE == Beginning RE + Current Net Income - Dividends Declared</t>
  </si>
  <si>
    <t>TIEOUT_04</t>
  </si>
  <si>
    <t>Discrepancy of 130,000.00: Expected 500,000.00, Actual 370,000.00</t>
  </si>
  <si>
    <t>Prior Year Tie-Out</t>
  </si>
  <si>
    <t>Comparative Assets: Current Report PY Total Assets == Audited Prior-Year Total Assets</t>
  </si>
  <si>
    <t>PY_01</t>
  </si>
  <si>
    <t>Comparative Cash: Current Report PY Cash == Audited Prior-Year Cash</t>
  </si>
  <si>
    <t>PY_02</t>
  </si>
  <si>
    <t>Comparative Retained Earnings: Current Report PY Retained Earnings == Audited Prior-Year Retained Earnings</t>
  </si>
  <si>
    <t>PY_03</t>
  </si>
  <si>
    <t>Comparative Revenue: Current Report PY Revenue == Audited Prior-Year Revenue</t>
  </si>
  <si>
    <t>PY_04</t>
  </si>
  <si>
    <t>Comparative Net Income: Current Report PY Net Income == Audited Prior-Year Net Income</t>
  </si>
  <si>
    <t>PY_05</t>
  </si>
  <si>
    <t>Schedule Footing</t>
  </si>
  <si>
    <t>AR Aging Schedule Footing: Gross AR (Footnote) == Sum of Aging Buckets</t>
  </si>
  <si>
    <t>NOTE_01</t>
  </si>
  <si>
    <t>Net AR Footnote Calculation: Net AR (Footnote) == Gross AR - Allowance for Credit Losses</t>
  </si>
  <si>
    <t>NOTE_02</t>
  </si>
  <si>
    <t>AR Footnote to Balance Sheet: Note Net AR == Balance Sheet Net Accounts Receivable</t>
  </si>
  <si>
    <t>NOTE_03</t>
  </si>
  <si>
    <t>PP&amp;E Footnote Net Book Value: Ending Net PP&amp;E == Ending Gross PP&amp;E - Ending Accumulated Depreciation</t>
  </si>
  <si>
    <t>NOTE_04</t>
  </si>
  <si>
    <t>PP&amp;E Footnote to Balance Sheet: Note Net PP&amp;E == Balance Sheet Net Property, Plant &amp; Equipment</t>
  </si>
  <si>
    <t>NOTE_05</t>
  </si>
  <si>
    <t>Debt Maturity Schedule Sum: Total Future Debt Maturities == Sum of Scheduled Debt</t>
  </si>
  <si>
    <t>NOTE_06</t>
  </si>
  <si>
    <t>Short-Term Debt Maturity Match: Year 1 Debt Maturity == Balance Sheet Current Portion of LT Debt</t>
  </si>
  <si>
    <t>NOTE_07</t>
  </si>
  <si>
    <t>Long-Term Debt Maturity Match: Sum of Years 2-Thereafter Maturities == Balance Sheet Long-Term Debt</t>
  </si>
  <si>
    <t>NOTE_08</t>
  </si>
  <si>
    <t>Income Statement Sanity</t>
  </si>
  <si>
    <t>Revenue Growth Rate Rule</t>
  </si>
  <si>
    <t>IS_GUARD_01</t>
  </si>
  <si>
    <t>Gross Profit Margin Rule</t>
  </si>
  <si>
    <t>IS_GUARD_02</t>
  </si>
  <si>
    <t>OpEx to Revenue Ratio</t>
  </si>
  <si>
    <t>IS_GUARD_03</t>
  </si>
  <si>
    <t>Effective Tax Rate Rule</t>
  </si>
  <si>
    <t>IS_GUARD_04</t>
  </si>
  <si>
    <t>Balance Sheet Sanity</t>
  </si>
  <si>
    <t>Cash Buffer Rule</t>
  </si>
  <si>
    <t>BS_GUARD_01</t>
  </si>
  <si>
    <t>Current Ratio Liquidity Check</t>
  </si>
  <si>
    <t>BS_GUARD_02</t>
  </si>
  <si>
    <t>FLAGGED</t>
  </si>
  <si>
    <t>Current Ratio is 3.06x (Standard range: 1.00x to 3.00x)</t>
  </si>
  <si>
    <t>Audit Action: REVIEW REQUIRED</t>
  </si>
  <si>
    <t>Days Sales Outstanding (DSO)</t>
  </si>
  <si>
    <t>BS_GUARD_03</t>
  </si>
  <si>
    <t>Debt-to-Equity Ratio</t>
  </si>
  <si>
    <t>BS_GUARD_04</t>
  </si>
  <si>
    <t>Cash Flow Sanity</t>
  </si>
  <si>
    <t>Operating Cash Flow vs Net Income Alignment</t>
  </si>
  <si>
    <t>CF_GUARD_01</t>
  </si>
  <si>
    <t>CapEx to Revenue Ratio</t>
  </si>
  <si>
    <t>CF_GUARD_02</t>
  </si>
  <si>
    <t>Dividend Payout Ratio</t>
  </si>
  <si>
    <t>CF_GUARD_03</t>
  </si>
  <si>
    <t>Equity Sanity</t>
  </si>
  <si>
    <t>Retained Earnings Continuity</t>
  </si>
  <si>
    <t>EQ_GUARD_01</t>
  </si>
  <si>
    <t>Share Buyback Limits</t>
  </si>
  <si>
    <t>EQ_GUARD_02</t>
  </si>
  <si>
    <t>Notes Sanity</t>
  </si>
  <si>
    <t>Bad Debt Provision</t>
  </si>
  <si>
    <t>NOTE_GUARD_01</t>
  </si>
  <si>
    <t>Provisions are 0.00% of AR</t>
  </si>
  <si>
    <t>Contingent Liabilities Threshold</t>
  </si>
  <si>
    <t>NOTE_GUARD_02</t>
  </si>
  <si>
    <t>Driver Sanity</t>
  </si>
  <si>
    <t>Positive Headcount</t>
  </si>
  <si>
    <t>DRIVER_GUARD_01</t>
  </si>
  <si>
    <t>Audit Gate Conclusion</t>
  </si>
  <si>
    <t>REJECTED | Audit status REJECTED due to failure in critical deterministic footing / tie-out rules.</t>
  </si>
  <si>
    <t>ACME CORP - FINANCIAL STATEMENT ANALYTICS</t>
  </si>
  <si>
    <t>Period: FY 2025 | Currency / Scale: USD / -</t>
  </si>
  <si>
    <t>ACME CORP - RATIOS &amp; RELATIONSHIP DISCONNECTS</t>
  </si>
  <si>
    <t>ACME CORP - MULTI-YEAR HISTORICAL TREND ANALYTICS</t>
  </si>
  <si>
    <t>WP-514 FINDINGS, EXCEPTIONS &amp; RECONCILIATION</t>
  </si>
  <si>
    <t>Finding ID</t>
  </si>
  <si>
    <t>Rule ID</t>
  </si>
  <si>
    <t>Severity</t>
  </si>
  <si>
    <t>Description</t>
  </si>
  <si>
    <t>Expected</t>
  </si>
  <si>
    <t>Actual</t>
  </si>
  <si>
    <t>Difference</t>
  </si>
  <si>
    <t>Recommended Action</t>
  </si>
  <si>
    <t>FINDING-001</t>
  </si>
  <si>
    <t>CRITICAL</t>
  </si>
  <si>
    <t>Rule failure: REJECTED. Reconcile underlying ledger accounts.</t>
  </si>
  <si>
    <t>FINDING-002</t>
  </si>
  <si>
    <t>FINDING-003</t>
  </si>
  <si>
    <t>FINDING-004</t>
  </si>
  <si>
    <t>FINDING-005</t>
  </si>
  <si>
    <t>FINDING-006</t>
  </si>
  <si>
    <t>FORENSIC AUDIT &amp; STATISTICAL MODELS</t>
  </si>
</sst>
</file>

<file path=xl/styles.xml><?xml version="1.0" encoding="utf-8"?>
<styleSheet xmlns="http://schemas.openxmlformats.org/spreadsheetml/2006/main">
  <numFmts count="1">
    <numFmt numFmtId="164" formatCode="#,##0.00;[Red](#,##0.00);-"/>
  </numFmts>
  <fonts count="8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9"/>
      <color rgb="FF17365D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17365D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B8C6D1"/>
      </left>
      <right style="thin">
        <color rgb="FFB8C6D1"/>
      </right>
      <top style="thin">
        <color rgb="FFB8C6D1"/>
      </top>
      <bottom style="thin">
        <color rgb="FFB8C6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7"/>
  <sheetViews>
    <sheetView tabSelected="1" workbookViewId="0">
      <pane ySplit="9" topLeftCell="A10" activePane="bottomLeft" state="frozen"/>
      <selection pane="bottomLeft"/>
    </sheetView>
  </sheetViews>
  <sheetFormatPr defaultRowHeight="15"/>
  <cols>
    <col min="1" max="1" width="10.7109375" customWidth="1"/>
    <col min="2" max="2" width="24.7109375" customWidth="1"/>
    <col min="3" max="3" width="55.7109375" customWidth="1"/>
    <col min="4" max="4" width="20.7109375" customWidth="1"/>
    <col min="5" max="5" width="15.7109375" customWidth="1"/>
    <col min="6" max="6" width="38.7109375" customWidth="1"/>
    <col min="7" max="7" width="40.7109375" customWidth="1"/>
    <col min="8" max="8" width="28.7109375" customWidth="1"/>
  </cols>
  <sheetData>
    <row r="1" spans="1:8" ht="28" customHeight="1">
      <c r="A1" s="1" t="s">
        <v>0</v>
      </c>
      <c r="B1" s="1"/>
      <c r="C1" s="1"/>
      <c r="D1" s="1"/>
      <c r="E1" s="1"/>
      <c r="F1" s="1"/>
      <c r="G1" s="1"/>
      <c r="H1" s="1"/>
    </row>
    <row r="3" spans="1:8">
      <c r="A3" s="2" t="s">
        <v>1</v>
      </c>
      <c r="B3" s="3" t="s">
        <v>2</v>
      </c>
      <c r="D3" s="2" t="s">
        <v>3</v>
      </c>
      <c r="E3" s="3" t="s">
        <v>4</v>
      </c>
    </row>
    <row r="4" spans="1:8">
      <c r="A4" s="2" t="s">
        <v>5</v>
      </c>
      <c r="B4" s="3" t="s">
        <v>6</v>
      </c>
      <c r="D4" s="2" t="s">
        <v>7</v>
      </c>
      <c r="E4" s="3" t="s">
        <v>8</v>
      </c>
    </row>
    <row r="5" spans="1:8">
      <c r="A5" s="2" t="s">
        <v>9</v>
      </c>
      <c r="B5" s="3" t="s">
        <v>10</v>
      </c>
      <c r="D5" s="2" t="s">
        <v>11</v>
      </c>
      <c r="E5" s="3" t="s">
        <v>12</v>
      </c>
    </row>
    <row r="7" spans="1:8" ht="22" customHeight="1">
      <c r="A7" s="4" t="s">
        <v>13</v>
      </c>
      <c r="B7" s="4"/>
      <c r="C7" s="4"/>
      <c r="D7" s="4"/>
      <c r="E7" s="4"/>
      <c r="F7" s="4"/>
      <c r="G7" s="4"/>
      <c r="H7" s="4"/>
    </row>
    <row r="8" spans="1:8" ht="25" customHeight="1">
      <c r="A8" s="5" t="s">
        <v>14</v>
      </c>
      <c r="B8" s="5" t="s">
        <v>15</v>
      </c>
      <c r="C8" s="5" t="s">
        <v>16</v>
      </c>
      <c r="D8" s="5" t="s">
        <v>17</v>
      </c>
      <c r="E8" s="5" t="s">
        <v>7</v>
      </c>
      <c r="F8" s="5" t="s">
        <v>5</v>
      </c>
      <c r="G8" s="5" t="s">
        <v>9</v>
      </c>
      <c r="H8" s="5" t="s">
        <v>11</v>
      </c>
    </row>
    <row r="9" spans="1:8">
      <c r="A9" s="6" t="s">
        <v>18</v>
      </c>
      <c r="B9" s="7">
        <f>COUNTA(E11:E53)</f>
        <v>43</v>
      </c>
      <c r="C9" s="7">
        <f>COUNTIF(E11:E53, "PASS")</f>
        <v>35</v>
      </c>
      <c r="D9" s="7">
        <f>COUNTIF(E11:E53, "FLAGGED") + COUNTIF(E11:E53, "FAIL")</f>
        <v>6</v>
      </c>
      <c r="E9" s="8" t="s">
        <v>19</v>
      </c>
      <c r="F9" s="8" t="s">
        <v>6</v>
      </c>
      <c r="G9" s="8" t="s">
        <v>10</v>
      </c>
      <c r="H9" s="8" t="s">
        <v>12</v>
      </c>
    </row>
    <row r="11" spans="1:8" ht="22" customHeight="1">
      <c r="A11" s="4" t="s">
        <v>20</v>
      </c>
      <c r="B11" s="4"/>
      <c r="C11" s="4"/>
      <c r="D11" s="4"/>
      <c r="E11" s="4"/>
      <c r="F11" s="4"/>
      <c r="G11" s="4"/>
      <c r="H11" s="4"/>
    </row>
    <row r="12" spans="1:8" ht="25" customHeight="1">
      <c r="A12" s="5" t="s">
        <v>21</v>
      </c>
      <c r="B12" s="5" t="s">
        <v>22</v>
      </c>
      <c r="C12" s="5" t="s">
        <v>23</v>
      </c>
      <c r="D12" s="5" t="s">
        <v>24</v>
      </c>
      <c r="E12" s="5" t="s">
        <v>25</v>
      </c>
      <c r="F12" s="5" t="s">
        <v>26</v>
      </c>
      <c r="G12" s="5" t="s">
        <v>27</v>
      </c>
      <c r="H12" s="5" t="s">
        <v>28</v>
      </c>
    </row>
    <row r="13" spans="1:8">
      <c r="A13" s="8">
        <v>1</v>
      </c>
      <c r="B13" s="8" t="s">
        <v>29</v>
      </c>
      <c r="C13" s="8" t="s">
        <v>30</v>
      </c>
      <c r="D13" s="8" t="s">
        <v>31</v>
      </c>
      <c r="E13" s="6" t="s">
        <v>32</v>
      </c>
      <c r="F13" s="8" t="s">
        <v>33</v>
      </c>
      <c r="G13" s="8" t="s">
        <v>34</v>
      </c>
      <c r="H13" s="8"/>
    </row>
    <row r="14" spans="1:8">
      <c r="A14" s="8">
        <v>2</v>
      </c>
      <c r="B14" s="8" t="s">
        <v>29</v>
      </c>
      <c r="C14" s="8" t="s">
        <v>35</v>
      </c>
      <c r="D14" s="8" t="s">
        <v>36</v>
      </c>
      <c r="E14" s="9" t="s">
        <v>37</v>
      </c>
      <c r="F14" s="8" t="s">
        <v>8</v>
      </c>
      <c r="G14" s="8" t="s">
        <v>38</v>
      </c>
      <c r="H14" s="8"/>
    </row>
    <row r="15" spans="1:8">
      <c r="A15" s="8">
        <v>3</v>
      </c>
      <c r="B15" s="8" t="s">
        <v>29</v>
      </c>
      <c r="C15" s="8" t="s">
        <v>39</v>
      </c>
      <c r="D15" s="8" t="s">
        <v>40</v>
      </c>
      <c r="E15" s="9" t="s">
        <v>37</v>
      </c>
      <c r="F15" s="8" t="s">
        <v>8</v>
      </c>
      <c r="G15" s="8" t="s">
        <v>38</v>
      </c>
      <c r="H15" s="8"/>
    </row>
    <row r="16" spans="1:8">
      <c r="A16" s="8">
        <v>4</v>
      </c>
      <c r="B16" s="8" t="s">
        <v>29</v>
      </c>
      <c r="C16" s="8" t="s">
        <v>41</v>
      </c>
      <c r="D16" s="8" t="s">
        <v>42</v>
      </c>
      <c r="E16" s="9" t="s">
        <v>37</v>
      </c>
      <c r="F16" s="8" t="s">
        <v>8</v>
      </c>
      <c r="G16" s="8" t="s">
        <v>38</v>
      </c>
      <c r="H16" s="8"/>
    </row>
    <row r="17" spans="1:8">
      <c r="A17" s="8">
        <v>5</v>
      </c>
      <c r="B17" s="8" t="s">
        <v>29</v>
      </c>
      <c r="C17" s="8" t="s">
        <v>43</v>
      </c>
      <c r="D17" s="8" t="s">
        <v>44</v>
      </c>
      <c r="E17" s="6" t="s">
        <v>32</v>
      </c>
      <c r="F17" s="8" t="s">
        <v>45</v>
      </c>
      <c r="G17" s="8" t="s">
        <v>34</v>
      </c>
      <c r="H17" s="8"/>
    </row>
    <row r="18" spans="1:8">
      <c r="A18" s="8">
        <v>6</v>
      </c>
      <c r="B18" s="8" t="s">
        <v>29</v>
      </c>
      <c r="C18" s="8" t="s">
        <v>46</v>
      </c>
      <c r="D18" s="8" t="s">
        <v>47</v>
      </c>
      <c r="E18" s="9" t="s">
        <v>37</v>
      </c>
      <c r="F18" s="8" t="s">
        <v>8</v>
      </c>
      <c r="G18" s="8" t="s">
        <v>38</v>
      </c>
      <c r="H18" s="8"/>
    </row>
    <row r="19" spans="1:8">
      <c r="A19" s="8">
        <v>7</v>
      </c>
      <c r="B19" s="8" t="s">
        <v>29</v>
      </c>
      <c r="C19" s="8" t="s">
        <v>48</v>
      </c>
      <c r="D19" s="8" t="s">
        <v>49</v>
      </c>
      <c r="E19" s="9" t="s">
        <v>37</v>
      </c>
      <c r="F19" s="8" t="s">
        <v>8</v>
      </c>
      <c r="G19" s="8" t="s">
        <v>38</v>
      </c>
      <c r="H19" s="8"/>
    </row>
    <row r="20" spans="1:8">
      <c r="A20" s="8">
        <v>8</v>
      </c>
      <c r="B20" s="8" t="s">
        <v>29</v>
      </c>
      <c r="C20" s="8" t="s">
        <v>50</v>
      </c>
      <c r="D20" s="8" t="s">
        <v>51</v>
      </c>
      <c r="E20" s="6" t="s">
        <v>32</v>
      </c>
      <c r="F20" s="8" t="s">
        <v>52</v>
      </c>
      <c r="G20" s="8" t="s">
        <v>34</v>
      </c>
      <c r="H20" s="8"/>
    </row>
    <row r="21" spans="1:8">
      <c r="A21" s="8">
        <v>9</v>
      </c>
      <c r="B21" s="8" t="s">
        <v>29</v>
      </c>
      <c r="C21" s="8" t="s">
        <v>53</v>
      </c>
      <c r="D21" s="8" t="s">
        <v>54</v>
      </c>
      <c r="E21" s="9" t="s">
        <v>37</v>
      </c>
      <c r="F21" s="8" t="s">
        <v>8</v>
      </c>
      <c r="G21" s="8" t="s">
        <v>38</v>
      </c>
      <c r="H21" s="8"/>
    </row>
    <row r="22" spans="1:8">
      <c r="A22" s="8">
        <v>10</v>
      </c>
      <c r="B22" s="8" t="s">
        <v>29</v>
      </c>
      <c r="C22" s="8" t="s">
        <v>55</v>
      </c>
      <c r="D22" s="8" t="s">
        <v>56</v>
      </c>
      <c r="E22" s="6" t="s">
        <v>32</v>
      </c>
      <c r="F22" s="8" t="s">
        <v>57</v>
      </c>
      <c r="G22" s="8" t="s">
        <v>34</v>
      </c>
      <c r="H22" s="8"/>
    </row>
    <row r="23" spans="1:8">
      <c r="A23" s="8">
        <v>11</v>
      </c>
      <c r="B23" s="8" t="s">
        <v>29</v>
      </c>
      <c r="C23" s="8" t="s">
        <v>58</v>
      </c>
      <c r="D23" s="8" t="s">
        <v>59</v>
      </c>
      <c r="E23" s="9" t="s">
        <v>37</v>
      </c>
      <c r="F23" s="8" t="s">
        <v>8</v>
      </c>
      <c r="G23" s="8" t="s">
        <v>38</v>
      </c>
      <c r="H23" s="8"/>
    </row>
    <row r="24" spans="1:8">
      <c r="A24" s="8">
        <v>12</v>
      </c>
      <c r="B24" s="8" t="s">
        <v>60</v>
      </c>
      <c r="C24" s="8" t="s">
        <v>61</v>
      </c>
      <c r="D24" s="8" t="s">
        <v>62</v>
      </c>
      <c r="E24" s="9" t="s">
        <v>37</v>
      </c>
      <c r="F24" s="8" t="s">
        <v>8</v>
      </c>
      <c r="G24" s="8" t="s">
        <v>38</v>
      </c>
      <c r="H24" s="8"/>
    </row>
    <row r="25" spans="1:8">
      <c r="A25" s="8">
        <v>13</v>
      </c>
      <c r="B25" s="8" t="s">
        <v>60</v>
      </c>
      <c r="C25" s="8" t="s">
        <v>63</v>
      </c>
      <c r="D25" s="8" t="s">
        <v>64</v>
      </c>
      <c r="E25" s="6" t="s">
        <v>32</v>
      </c>
      <c r="F25" s="8" t="s">
        <v>65</v>
      </c>
      <c r="G25" s="8" t="s">
        <v>34</v>
      </c>
      <c r="H25" s="8"/>
    </row>
    <row r="26" spans="1:8">
      <c r="A26" s="8">
        <v>14</v>
      </c>
      <c r="B26" s="8" t="s">
        <v>60</v>
      </c>
      <c r="C26" s="8" t="s">
        <v>66</v>
      </c>
      <c r="D26" s="8" t="s">
        <v>67</v>
      </c>
      <c r="E26" s="6" t="s">
        <v>32</v>
      </c>
      <c r="F26" s="8" t="s">
        <v>68</v>
      </c>
      <c r="G26" s="8" t="s">
        <v>34</v>
      </c>
      <c r="H26" s="8"/>
    </row>
    <row r="27" spans="1:8">
      <c r="A27" s="8">
        <v>15</v>
      </c>
      <c r="B27" s="8" t="s">
        <v>69</v>
      </c>
      <c r="C27" s="8" t="s">
        <v>70</v>
      </c>
      <c r="D27" s="8" t="s">
        <v>71</v>
      </c>
      <c r="E27" s="9" t="s">
        <v>37</v>
      </c>
      <c r="F27" s="8" t="s">
        <v>8</v>
      </c>
      <c r="G27" s="8" t="s">
        <v>38</v>
      </c>
      <c r="H27" s="8"/>
    </row>
    <row r="28" spans="1:8">
      <c r="A28" s="8">
        <v>16</v>
      </c>
      <c r="B28" s="8" t="s">
        <v>69</v>
      </c>
      <c r="C28" s="8" t="s">
        <v>72</v>
      </c>
      <c r="D28" s="8" t="s">
        <v>73</v>
      </c>
      <c r="E28" s="9" t="s">
        <v>37</v>
      </c>
      <c r="F28" s="8" t="s">
        <v>8</v>
      </c>
      <c r="G28" s="8" t="s">
        <v>38</v>
      </c>
      <c r="H28" s="8"/>
    </row>
    <row r="29" spans="1:8">
      <c r="A29" s="8">
        <v>17</v>
      </c>
      <c r="B29" s="8" t="s">
        <v>69</v>
      </c>
      <c r="C29" s="8" t="s">
        <v>74</v>
      </c>
      <c r="D29" s="8" t="s">
        <v>75</v>
      </c>
      <c r="E29" s="9" t="s">
        <v>37</v>
      </c>
      <c r="F29" s="8" t="s">
        <v>8</v>
      </c>
      <c r="G29" s="8" t="s">
        <v>38</v>
      </c>
      <c r="H29" s="8"/>
    </row>
    <row r="30" spans="1:8">
      <c r="A30" s="8">
        <v>18</v>
      </c>
      <c r="B30" s="8" t="s">
        <v>69</v>
      </c>
      <c r="C30" s="8" t="s">
        <v>76</v>
      </c>
      <c r="D30" s="8" t="s">
        <v>77</v>
      </c>
      <c r="E30" s="9" t="s">
        <v>37</v>
      </c>
      <c r="F30" s="8" t="s">
        <v>8</v>
      </c>
      <c r="G30" s="8" t="s">
        <v>38</v>
      </c>
      <c r="H30" s="8"/>
    </row>
    <row r="31" spans="1:8">
      <c r="A31" s="8">
        <v>19</v>
      </c>
      <c r="B31" s="8" t="s">
        <v>69</v>
      </c>
      <c r="C31" s="8" t="s">
        <v>78</v>
      </c>
      <c r="D31" s="8" t="s">
        <v>79</v>
      </c>
      <c r="E31" s="9" t="s">
        <v>37</v>
      </c>
      <c r="F31" s="8" t="s">
        <v>8</v>
      </c>
      <c r="G31" s="8" t="s">
        <v>38</v>
      </c>
      <c r="H31" s="8"/>
    </row>
    <row r="32" spans="1:8">
      <c r="A32" s="8">
        <v>20</v>
      </c>
      <c r="B32" s="8" t="s">
        <v>80</v>
      </c>
      <c r="C32" s="8" t="s">
        <v>81</v>
      </c>
      <c r="D32" s="8" t="s">
        <v>82</v>
      </c>
      <c r="E32" s="9" t="s">
        <v>37</v>
      </c>
      <c r="F32" s="8" t="s">
        <v>8</v>
      </c>
      <c r="G32" s="8" t="s">
        <v>38</v>
      </c>
      <c r="H32" s="8"/>
    </row>
    <row r="33" spans="1:8">
      <c r="A33" s="8">
        <v>21</v>
      </c>
      <c r="B33" s="8" t="s">
        <v>80</v>
      </c>
      <c r="C33" s="8" t="s">
        <v>83</v>
      </c>
      <c r="D33" s="8" t="s">
        <v>84</v>
      </c>
      <c r="E33" s="9" t="s">
        <v>37</v>
      </c>
      <c r="F33" s="8" t="s">
        <v>8</v>
      </c>
      <c r="G33" s="8" t="s">
        <v>38</v>
      </c>
      <c r="H33" s="8"/>
    </row>
    <row r="34" spans="1:8">
      <c r="A34" s="8">
        <v>22</v>
      </c>
      <c r="B34" s="8" t="s">
        <v>60</v>
      </c>
      <c r="C34" s="8" t="s">
        <v>85</v>
      </c>
      <c r="D34" s="8" t="s">
        <v>86</v>
      </c>
      <c r="E34" s="9" t="s">
        <v>37</v>
      </c>
      <c r="F34" s="8" t="s">
        <v>8</v>
      </c>
      <c r="G34" s="8" t="s">
        <v>38</v>
      </c>
      <c r="H34" s="8"/>
    </row>
    <row r="35" spans="1:8">
      <c r="A35" s="8">
        <v>23</v>
      </c>
      <c r="B35" s="8" t="s">
        <v>80</v>
      </c>
      <c r="C35" s="8" t="s">
        <v>87</v>
      </c>
      <c r="D35" s="8" t="s">
        <v>88</v>
      </c>
      <c r="E35" s="9" t="s">
        <v>37</v>
      </c>
      <c r="F35" s="8" t="s">
        <v>8</v>
      </c>
      <c r="G35" s="8" t="s">
        <v>38</v>
      </c>
      <c r="H35" s="8"/>
    </row>
    <row r="36" spans="1:8">
      <c r="A36" s="8">
        <v>24</v>
      </c>
      <c r="B36" s="8" t="s">
        <v>60</v>
      </c>
      <c r="C36" s="8" t="s">
        <v>89</v>
      </c>
      <c r="D36" s="8" t="s">
        <v>90</v>
      </c>
      <c r="E36" s="9" t="s">
        <v>37</v>
      </c>
      <c r="F36" s="8" t="s">
        <v>8</v>
      </c>
      <c r="G36" s="8" t="s">
        <v>38</v>
      </c>
      <c r="H36" s="8"/>
    </row>
    <row r="37" spans="1:8">
      <c r="A37" s="8">
        <v>25</v>
      </c>
      <c r="B37" s="8" t="s">
        <v>80</v>
      </c>
      <c r="C37" s="8" t="s">
        <v>91</v>
      </c>
      <c r="D37" s="8" t="s">
        <v>92</v>
      </c>
      <c r="E37" s="9" t="s">
        <v>37</v>
      </c>
      <c r="F37" s="8" t="s">
        <v>8</v>
      </c>
      <c r="G37" s="8" t="s">
        <v>38</v>
      </c>
      <c r="H37" s="8"/>
    </row>
    <row r="38" spans="1:8">
      <c r="A38" s="8">
        <v>26</v>
      </c>
      <c r="B38" s="8" t="s">
        <v>60</v>
      </c>
      <c r="C38" s="8" t="s">
        <v>93</v>
      </c>
      <c r="D38" s="8" t="s">
        <v>94</v>
      </c>
      <c r="E38" s="9" t="s">
        <v>37</v>
      </c>
      <c r="F38" s="8" t="s">
        <v>8</v>
      </c>
      <c r="G38" s="8" t="s">
        <v>38</v>
      </c>
      <c r="H38" s="8"/>
    </row>
    <row r="39" spans="1:8">
      <c r="A39" s="8">
        <v>27</v>
      </c>
      <c r="B39" s="8" t="s">
        <v>60</v>
      </c>
      <c r="C39" s="8" t="s">
        <v>95</v>
      </c>
      <c r="D39" s="8" t="s">
        <v>96</v>
      </c>
      <c r="E39" s="9" t="s">
        <v>37</v>
      </c>
      <c r="F39" s="8" t="s">
        <v>8</v>
      </c>
      <c r="G39" s="8" t="s">
        <v>38</v>
      </c>
      <c r="H39" s="8"/>
    </row>
    <row r="40" spans="1:8">
      <c r="A40" s="8">
        <v>28</v>
      </c>
      <c r="B40" s="8" t="s">
        <v>97</v>
      </c>
      <c r="C40" s="8" t="s">
        <v>98</v>
      </c>
      <c r="D40" s="8" t="s">
        <v>99</v>
      </c>
      <c r="E40" s="9" t="s">
        <v>37</v>
      </c>
      <c r="F40" s="8" t="s">
        <v>8</v>
      </c>
      <c r="G40" s="8" t="s">
        <v>38</v>
      </c>
      <c r="H40" s="8"/>
    </row>
    <row r="41" spans="1:8">
      <c r="A41" s="8">
        <v>29</v>
      </c>
      <c r="B41" s="8" t="s">
        <v>97</v>
      </c>
      <c r="C41" s="8" t="s">
        <v>100</v>
      </c>
      <c r="D41" s="8" t="s">
        <v>101</v>
      </c>
      <c r="E41" s="9" t="s">
        <v>37</v>
      </c>
      <c r="F41" s="8" t="s">
        <v>8</v>
      </c>
      <c r="G41" s="8" t="s">
        <v>38</v>
      </c>
      <c r="H41" s="8"/>
    </row>
    <row r="42" spans="1:8">
      <c r="A42" s="8">
        <v>30</v>
      </c>
      <c r="B42" s="8" t="s">
        <v>97</v>
      </c>
      <c r="C42" s="8" t="s">
        <v>102</v>
      </c>
      <c r="D42" s="8" t="s">
        <v>103</v>
      </c>
      <c r="E42" s="9" t="s">
        <v>37</v>
      </c>
      <c r="F42" s="8" t="s">
        <v>8</v>
      </c>
      <c r="G42" s="8" t="s">
        <v>38</v>
      </c>
      <c r="H42" s="8"/>
    </row>
    <row r="43" spans="1:8">
      <c r="A43" s="8">
        <v>31</v>
      </c>
      <c r="B43" s="8" t="s">
        <v>97</v>
      </c>
      <c r="C43" s="8" t="s">
        <v>104</v>
      </c>
      <c r="D43" s="8" t="s">
        <v>105</v>
      </c>
      <c r="E43" s="9" t="s">
        <v>37</v>
      </c>
      <c r="F43" s="8" t="s">
        <v>8</v>
      </c>
      <c r="G43" s="8" t="s">
        <v>38</v>
      </c>
      <c r="H43" s="8"/>
    </row>
    <row r="44" spans="1:8">
      <c r="A44" s="8">
        <v>32</v>
      </c>
      <c r="B44" s="8" t="s">
        <v>106</v>
      </c>
      <c r="C44" s="8" t="s">
        <v>107</v>
      </c>
      <c r="D44" s="8" t="s">
        <v>108</v>
      </c>
      <c r="E44" s="9" t="s">
        <v>37</v>
      </c>
      <c r="F44" s="8" t="s">
        <v>8</v>
      </c>
      <c r="G44" s="8" t="s">
        <v>38</v>
      </c>
      <c r="H44" s="8"/>
    </row>
    <row r="45" spans="1:8">
      <c r="A45" s="8">
        <v>33</v>
      </c>
      <c r="B45" s="8" t="s">
        <v>106</v>
      </c>
      <c r="C45" s="8" t="s">
        <v>109</v>
      </c>
      <c r="D45" s="8" t="s">
        <v>110</v>
      </c>
      <c r="E45" s="10" t="s">
        <v>111</v>
      </c>
      <c r="F45" s="8" t="s">
        <v>112</v>
      </c>
      <c r="G45" s="8" t="s">
        <v>113</v>
      </c>
      <c r="H45" s="8"/>
    </row>
    <row r="46" spans="1:8">
      <c r="A46" s="8">
        <v>34</v>
      </c>
      <c r="B46" s="8" t="s">
        <v>106</v>
      </c>
      <c r="C46" s="8" t="s">
        <v>114</v>
      </c>
      <c r="D46" s="8" t="s">
        <v>115</v>
      </c>
      <c r="E46" s="9" t="s">
        <v>37</v>
      </c>
      <c r="F46" s="8" t="s">
        <v>8</v>
      </c>
      <c r="G46" s="8" t="s">
        <v>38</v>
      </c>
      <c r="H46" s="8"/>
    </row>
    <row r="47" spans="1:8">
      <c r="A47" s="8">
        <v>35</v>
      </c>
      <c r="B47" s="8" t="s">
        <v>106</v>
      </c>
      <c r="C47" s="8" t="s">
        <v>116</v>
      </c>
      <c r="D47" s="8" t="s">
        <v>117</v>
      </c>
      <c r="E47" s="9" t="s">
        <v>37</v>
      </c>
      <c r="F47" s="8" t="s">
        <v>8</v>
      </c>
      <c r="G47" s="8" t="s">
        <v>38</v>
      </c>
      <c r="H47" s="8"/>
    </row>
    <row r="48" spans="1:8">
      <c r="A48" s="8">
        <v>36</v>
      </c>
      <c r="B48" s="8" t="s">
        <v>118</v>
      </c>
      <c r="C48" s="8" t="s">
        <v>119</v>
      </c>
      <c r="D48" s="8" t="s">
        <v>120</v>
      </c>
      <c r="E48" s="9" t="s">
        <v>37</v>
      </c>
      <c r="F48" s="8" t="s">
        <v>8</v>
      </c>
      <c r="G48" s="8" t="s">
        <v>38</v>
      </c>
      <c r="H48" s="8"/>
    </row>
    <row r="49" spans="1:8">
      <c r="A49" s="8">
        <v>37</v>
      </c>
      <c r="B49" s="8" t="s">
        <v>118</v>
      </c>
      <c r="C49" s="8" t="s">
        <v>121</v>
      </c>
      <c r="D49" s="8" t="s">
        <v>122</v>
      </c>
      <c r="E49" s="9" t="s">
        <v>37</v>
      </c>
      <c r="F49" s="8" t="s">
        <v>8</v>
      </c>
      <c r="G49" s="8" t="s">
        <v>38</v>
      </c>
      <c r="H49" s="8"/>
    </row>
    <row r="50" spans="1:8">
      <c r="A50" s="8">
        <v>38</v>
      </c>
      <c r="B50" s="8" t="s">
        <v>118</v>
      </c>
      <c r="C50" s="8" t="s">
        <v>123</v>
      </c>
      <c r="D50" s="8" t="s">
        <v>124</v>
      </c>
      <c r="E50" s="9" t="s">
        <v>37</v>
      </c>
      <c r="F50" s="8" t="s">
        <v>8</v>
      </c>
      <c r="G50" s="8" t="s">
        <v>38</v>
      </c>
      <c r="H50" s="8"/>
    </row>
    <row r="51" spans="1:8">
      <c r="A51" s="8">
        <v>39</v>
      </c>
      <c r="B51" s="8" t="s">
        <v>125</v>
      </c>
      <c r="C51" s="8" t="s">
        <v>126</v>
      </c>
      <c r="D51" s="8" t="s">
        <v>127</v>
      </c>
      <c r="E51" s="9" t="s">
        <v>37</v>
      </c>
      <c r="F51" s="8" t="s">
        <v>8</v>
      </c>
      <c r="G51" s="8" t="s">
        <v>38</v>
      </c>
      <c r="H51" s="8"/>
    </row>
    <row r="52" spans="1:8">
      <c r="A52" s="8">
        <v>40</v>
      </c>
      <c r="B52" s="8" t="s">
        <v>125</v>
      </c>
      <c r="C52" s="8" t="s">
        <v>128</v>
      </c>
      <c r="D52" s="8" t="s">
        <v>129</v>
      </c>
      <c r="E52" s="9" t="s">
        <v>37</v>
      </c>
      <c r="F52" s="8" t="s">
        <v>8</v>
      </c>
      <c r="G52" s="8" t="s">
        <v>38</v>
      </c>
      <c r="H52" s="8"/>
    </row>
    <row r="53" spans="1:8">
      <c r="A53" s="8">
        <v>41</v>
      </c>
      <c r="B53" s="8" t="s">
        <v>130</v>
      </c>
      <c r="C53" s="8" t="s">
        <v>131</v>
      </c>
      <c r="D53" s="8" t="s">
        <v>132</v>
      </c>
      <c r="E53" s="10" t="s">
        <v>111</v>
      </c>
      <c r="F53" s="8" t="s">
        <v>133</v>
      </c>
      <c r="G53" s="8" t="s">
        <v>113</v>
      </c>
      <c r="H53" s="8"/>
    </row>
    <row r="54" spans="1:8">
      <c r="A54" s="8">
        <v>42</v>
      </c>
      <c r="B54" s="8" t="s">
        <v>130</v>
      </c>
      <c r="C54" s="8" t="s">
        <v>134</v>
      </c>
      <c r="D54" s="8" t="s">
        <v>135</v>
      </c>
      <c r="E54" s="9" t="s">
        <v>37</v>
      </c>
      <c r="F54" s="8" t="s">
        <v>8</v>
      </c>
      <c r="G54" s="8" t="s">
        <v>38</v>
      </c>
      <c r="H54" s="8"/>
    </row>
    <row r="55" spans="1:8">
      <c r="A55" s="8">
        <v>43</v>
      </c>
      <c r="B55" s="8" t="s">
        <v>136</v>
      </c>
      <c r="C55" s="8" t="s">
        <v>137</v>
      </c>
      <c r="D55" s="8" t="s">
        <v>138</v>
      </c>
      <c r="E55" s="9" t="s">
        <v>37</v>
      </c>
      <c r="F55" s="8" t="s">
        <v>8</v>
      </c>
      <c r="G55" s="8" t="s">
        <v>38</v>
      </c>
      <c r="H55" s="8"/>
    </row>
    <row r="57" spans="1:8" ht="30" customHeight="1">
      <c r="A57" s="5" t="s">
        <v>139</v>
      </c>
      <c r="B57" s="5"/>
      <c r="C57" s="8" t="s">
        <v>140</v>
      </c>
      <c r="D57" s="8"/>
      <c r="E57" s="8"/>
      <c r="F57" s="8"/>
      <c r="G57" s="8"/>
      <c r="H57" s="8"/>
    </row>
  </sheetData>
  <mergeCells count="5">
    <mergeCell ref="A1:H1"/>
    <mergeCell ref="A7:H7"/>
    <mergeCell ref="A11:H11"/>
    <mergeCell ref="A57:B57"/>
    <mergeCell ref="C57:H57"/>
  </mergeCells>
  <printOptions gridLine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34.7109375" customWidth="1"/>
    <col min="3" max="5" width="18.7109375" customWidth="1"/>
    <col min="6" max="6" width="16.7109375" customWidth="1"/>
    <col min="7" max="7" width="20.7109375" customWidth="1"/>
  </cols>
  <sheetData>
    <row r="1" spans="1:7" ht="28" customHeight="1">
      <c r="A1" s="1" t="s">
        <v>141</v>
      </c>
      <c r="B1" s="1"/>
      <c r="C1" s="1"/>
      <c r="D1" s="1"/>
      <c r="E1" s="1"/>
      <c r="F1" s="1"/>
      <c r="G1" s="1"/>
    </row>
    <row r="2" spans="1:7">
      <c r="A2" s="3" t="s">
        <v>142</v>
      </c>
    </row>
  </sheetData>
  <mergeCells count="1">
    <mergeCell ref="A1:G1"/>
  </mergeCells>
  <printOptions gridLine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3" width="30.7109375" customWidth="1"/>
    <col min="4" max="4" width="40.7109375" customWidth="1"/>
    <col min="5" max="5" width="18.7109375" customWidth="1"/>
    <col min="6" max="6" width="55.7109375" customWidth="1"/>
  </cols>
  <sheetData>
    <row r="1" spans="1:7" ht="28" customHeight="1">
      <c r="A1" s="1" t="s">
        <v>143</v>
      </c>
      <c r="B1" s="1"/>
      <c r="C1" s="1"/>
      <c r="D1" s="1"/>
      <c r="E1" s="1"/>
      <c r="F1" s="1"/>
      <c r="G1" s="1"/>
    </row>
  </sheetData>
  <mergeCells count="1">
    <mergeCell ref="A1:G1"/>
  </mergeCells>
  <printOptions gridLine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4" topLeftCell="A5" activePane="bottomLeft" state="frozen"/>
      <selection pane="bottomLeft"/>
    </sheetView>
  </sheetViews>
  <sheetFormatPr defaultRowHeight="15"/>
  <cols>
    <col min="1" max="7" width="22.7109375" customWidth="1"/>
  </cols>
  <sheetData>
    <row r="1" spans="1:7" ht="28" customHeight="1">
      <c r="A1" s="1" t="s">
        <v>144</v>
      </c>
      <c r="B1" s="1"/>
      <c r="C1" s="1"/>
      <c r="D1" s="1"/>
      <c r="E1" s="1"/>
      <c r="F1" s="1"/>
      <c r="G1" s="1"/>
    </row>
  </sheetData>
  <mergeCells count="1">
    <mergeCell ref="A1:G1"/>
  </mergeCells>
  <printOptions gridLine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"/>
  <sheetViews>
    <sheetView workbookViewId="0">
      <pane ySplit="4" topLeftCell="A5" activePane="bottomLeft" state="frozen"/>
      <selection pane="bottomLeft"/>
    </sheetView>
  </sheetViews>
  <sheetFormatPr defaultRowHeight="15"/>
  <cols>
    <col min="1" max="2" width="16.7109375" customWidth="1"/>
    <col min="3" max="3" width="15.7109375" customWidth="1"/>
    <col min="4" max="4" width="48.7109375" customWidth="1"/>
    <col min="5" max="7" width="18.7109375" customWidth="1"/>
    <col min="8" max="8" width="55.7109375" customWidth="1"/>
  </cols>
  <sheetData>
    <row r="1" spans="1:8" ht="28" customHeight="1">
      <c r="A1" s="1" t="s">
        <v>145</v>
      </c>
      <c r="B1" s="1"/>
      <c r="C1" s="1"/>
      <c r="D1" s="1"/>
      <c r="E1" s="1"/>
      <c r="F1" s="1"/>
      <c r="G1" s="1"/>
      <c r="H1" s="1"/>
    </row>
    <row r="4" spans="1:8" ht="25" customHeight="1">
      <c r="A4" s="5" t="s">
        <v>146</v>
      </c>
      <c r="B4" s="5" t="s">
        <v>147</v>
      </c>
      <c r="C4" s="5" t="s">
        <v>148</v>
      </c>
      <c r="D4" s="5" t="s">
        <v>149</v>
      </c>
      <c r="E4" s="5" t="s">
        <v>150</v>
      </c>
      <c r="F4" s="5" t="s">
        <v>151</v>
      </c>
      <c r="G4" s="5" t="s">
        <v>152</v>
      </c>
      <c r="H4" s="5" t="s">
        <v>153</v>
      </c>
    </row>
    <row r="5" spans="1:8">
      <c r="A5" s="8" t="s">
        <v>154</v>
      </c>
      <c r="B5" s="8" t="s">
        <v>31</v>
      </c>
      <c r="C5" s="6" t="s">
        <v>155</v>
      </c>
      <c r="D5" s="8" t="s">
        <v>30</v>
      </c>
      <c r="E5" s="11">
        <v>1570000.00</v>
      </c>
      <c r="F5" s="11">
        <v>1000000.00</v>
      </c>
      <c r="G5" s="11">
        <f>F5-E5</f>
        <v>570000.00</v>
      </c>
      <c r="H5" s="8" t="s">
        <v>156</v>
      </c>
    </row>
    <row r="6" spans="1:8">
      <c r="A6" s="8" t="s">
        <v>157</v>
      </c>
      <c r="B6" s="8" t="s">
        <v>44</v>
      </c>
      <c r="C6" s="6" t="s">
        <v>155</v>
      </c>
      <c r="D6" s="8" t="s">
        <v>43</v>
      </c>
      <c r="E6" s="11">
        <v>430000.00</v>
      </c>
      <c r="F6" s="11">
        <v>1000000.00</v>
      </c>
      <c r="G6" s="11">
        <f>F6-E6</f>
        <v>570000.00</v>
      </c>
      <c r="H6" s="8" t="s">
        <v>156</v>
      </c>
    </row>
    <row r="7" spans="1:8">
      <c r="A7" s="8" t="s">
        <v>158</v>
      </c>
      <c r="B7" s="8" t="s">
        <v>51</v>
      </c>
      <c r="C7" s="6" t="s">
        <v>155</v>
      </c>
      <c r="D7" s="8" t="s">
        <v>50</v>
      </c>
      <c r="E7" s="11">
        <v>260000.00</v>
      </c>
      <c r="F7" s="11">
        <v>300000.00</v>
      </c>
      <c r="G7" s="11">
        <f>F7-E7</f>
        <v>40000.00</v>
      </c>
      <c r="H7" s="8" t="s">
        <v>156</v>
      </c>
    </row>
    <row r="8" spans="1:8">
      <c r="A8" s="8" t="s">
        <v>159</v>
      </c>
      <c r="B8" s="8" t="s">
        <v>56</v>
      </c>
      <c r="C8" s="6" t="s">
        <v>155</v>
      </c>
      <c r="D8" s="8" t="s">
        <v>55</v>
      </c>
      <c r="E8" s="11">
        <v>20000.00</v>
      </c>
      <c r="F8" s="11">
        <v>0.00</v>
      </c>
      <c r="G8" s="11">
        <f>F8-E8</f>
        <v>20000.00</v>
      </c>
      <c r="H8" s="8" t="s">
        <v>156</v>
      </c>
    </row>
    <row r="9" spans="1:8">
      <c r="A9" s="8" t="s">
        <v>160</v>
      </c>
      <c r="B9" s="8" t="s">
        <v>64</v>
      </c>
      <c r="C9" s="6" t="s">
        <v>155</v>
      </c>
      <c r="D9" s="8" t="s">
        <v>63</v>
      </c>
      <c r="E9" s="11">
        <v>120000.00</v>
      </c>
      <c r="F9" s="11">
        <v>0.00</v>
      </c>
      <c r="G9" s="11">
        <f>F9-E9</f>
        <v>120000.00</v>
      </c>
      <c r="H9" s="8" t="s">
        <v>156</v>
      </c>
    </row>
    <row r="10" spans="1:8">
      <c r="A10" s="8" t="s">
        <v>161</v>
      </c>
      <c r="B10" s="8" t="s">
        <v>67</v>
      </c>
      <c r="C10" s="6" t="s">
        <v>155</v>
      </c>
      <c r="D10" s="8" t="s">
        <v>66</v>
      </c>
      <c r="E10" s="11">
        <v>500000.00</v>
      </c>
      <c r="F10" s="11">
        <v>370000.00</v>
      </c>
      <c r="G10" s="11">
        <f>F10-E10</f>
        <v>130000.00</v>
      </c>
      <c r="H10" s="8" t="s">
        <v>156</v>
      </c>
    </row>
  </sheetData>
  <mergeCells count="1">
    <mergeCell ref="A1:H1"/>
  </mergeCells>
  <printOptions gridLine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8.7109375" customWidth="1"/>
    <col min="2" max="2" width="22.7109375" customWidth="1"/>
    <col min="3" max="3" width="25.7109375" customWidth="1"/>
    <col min="4" max="4" width="30.7109375" customWidth="1"/>
    <col min="5" max="5" width="15.7109375" customWidth="1"/>
    <col min="6" max="6" width="55.7109375" customWidth="1"/>
  </cols>
  <sheetData>
    <row r="1" spans="1:6" ht="28" customHeight="1">
      <c r="A1" s="1" t="s">
        <v>162</v>
      </c>
      <c r="B1" s="1"/>
      <c r="C1" s="1"/>
      <c r="D1" s="1"/>
      <c r="E1" s="1"/>
      <c r="F1" s="1"/>
    </row>
  </sheetData>
  <mergeCells count="1">
    <mergeCell ref="A1:F1"/>
  </mergeCells>
  <printOptions gridLine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WP-514 Review</vt:lpstr>
      <vt:lpstr>Financial Analytics</vt:lpstr>
      <vt:lpstr>Ratio &amp; Disconnect Analysis</vt:lpstr>
      <vt:lpstr>Historical Analysis</vt:lpstr>
      <vt:lpstr>Findings &amp; Exceptions</vt:lpstr>
      <vt:lpstr>Forensic Analytics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2026-09-09T17:42:47Z</dcterms:created>
  <dcterms:modified xsi:type="dcterms:W3CDTF">2026-09-09T17:42:47Z</dcterms:modified>
</cp:coreProperties>
</file>